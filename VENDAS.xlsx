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drawings/drawing4.xml" ContentType="application/vnd.openxmlformats-officedocument.drawing+xml"/>
  <Override PartName="/xl/worksheets/sheet16.xml" ContentType="application/vnd.openxmlformats-officedocument.spreadsheetml.worksheet+xml"/>
  <Override PartName="/xl/drawings/drawing5.xml" ContentType="application/vnd.openxmlformats-officedocument.drawing+xml"/>
  <Override PartName="/xl/worksheets/sheet17.xml" ContentType="application/vnd.openxmlformats-officedocument.spreadsheetml.worksheet+xml"/>
  <Override PartName="/xl/drawings/drawing6.xml" ContentType="application/vnd.openxmlformats-officedocument.drawing+xml"/>
  <Override PartName="/xl/worksheets/sheet18.xml" ContentType="application/vnd.openxmlformats-officedocument.spreadsheetml.worksheet+xml"/>
  <Override PartName="/xl/drawings/drawing7.xml" ContentType="application/vnd.openxmlformats-officedocument.drawing+xml"/>
  <Override PartName="/xl/comments/comment1.xml" ContentType="application/vnd.openxmlformats-officedocument.spreadsheetml.comments+xml"/>
  <Override PartName="/xl/worksheets/sheet19.xml" ContentType="application/vnd.openxmlformats-officedocument.spreadsheetml.worksheet+xml"/>
  <Override PartName="/xl/drawings/drawing8.xml" ContentType="application/vnd.openxmlformats-officedocument.drawing+xml"/>
  <Override PartName="/xl/worksheets/sheet20.xml" ContentType="application/vnd.openxmlformats-officedocument.spreadsheetml.worksheet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17" firstSheet="9" activeTab="19" autoFilterDateGrouping="1"/>
  </bookViews>
  <sheets>
    <sheet xmlns:r="http://schemas.openxmlformats.org/officeDocument/2006/relationships" name="JAN" sheetId="1" state="visible" r:id="rId1"/>
    <sheet xmlns:r="http://schemas.openxmlformats.org/officeDocument/2006/relationships" name="FEV" sheetId="2" state="visible" r:id="rId2"/>
    <sheet xmlns:r="http://schemas.openxmlformats.org/officeDocument/2006/relationships" name="MAR" sheetId="3" state="visible" r:id="rId3"/>
    <sheet xmlns:r="http://schemas.openxmlformats.org/officeDocument/2006/relationships" name="ABR" sheetId="4" state="visible" r:id="rId4"/>
    <sheet xmlns:r="http://schemas.openxmlformats.org/officeDocument/2006/relationships" name="MAIO" sheetId="5" state="visible" r:id="rId5"/>
    <sheet xmlns:r="http://schemas.openxmlformats.org/officeDocument/2006/relationships" name="JUN" sheetId="6" state="visible" r:id="rId6"/>
    <sheet xmlns:r="http://schemas.openxmlformats.org/officeDocument/2006/relationships" name="JULH" sheetId="7" state="visible" r:id="rId7"/>
    <sheet xmlns:r="http://schemas.openxmlformats.org/officeDocument/2006/relationships" name="AGOS" sheetId="8" state="visible" r:id="rId8"/>
    <sheet xmlns:r="http://schemas.openxmlformats.org/officeDocument/2006/relationships" name="SET" sheetId="9" state="visible" r:id="rId9"/>
    <sheet xmlns:r="http://schemas.openxmlformats.org/officeDocument/2006/relationships" name="OUT" sheetId="10" state="visible" r:id="rId10"/>
    <sheet xmlns:r="http://schemas.openxmlformats.org/officeDocument/2006/relationships" name="NOV" sheetId="11" state="visible" r:id="rId11"/>
    <sheet xmlns:r="http://schemas.openxmlformats.org/officeDocument/2006/relationships" name="GERAL" sheetId="12" state="visible" r:id="rId12"/>
    <sheet xmlns:r="http://schemas.openxmlformats.org/officeDocument/2006/relationships" name="2020" sheetId="13" state="visible" r:id="rId13"/>
    <sheet xmlns:r="http://schemas.openxmlformats.org/officeDocument/2006/relationships" name="2021" sheetId="14" state="visible" r:id="rId14"/>
    <sheet xmlns:r="http://schemas.openxmlformats.org/officeDocument/2006/relationships" name="2022" sheetId="15" state="visible" r:id="rId15"/>
    <sheet xmlns:r="http://schemas.openxmlformats.org/officeDocument/2006/relationships" name="2023" sheetId="16" state="visible" r:id="rId16"/>
    <sheet xmlns:r="http://schemas.openxmlformats.org/officeDocument/2006/relationships" name="2024" sheetId="17" state="visible" r:id="rId17"/>
    <sheet xmlns:r="http://schemas.openxmlformats.org/officeDocument/2006/relationships" name="2025" sheetId="18" state="visible" r:id="rId18"/>
    <sheet xmlns:r="http://schemas.openxmlformats.org/officeDocument/2006/relationships" name="2026" sheetId="19" state="visible" r:id="rId19"/>
    <sheet xmlns:r="http://schemas.openxmlformats.org/officeDocument/2006/relationships" name="GRAFICO 5 ANOS" sheetId="20" state="visible" r:id="rId2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R$&quot;\ * #,##0.00_-;\-&quot;R$&quot;\ * #,##0.00_-;_-&quot;R$&quot;\ * &quot;-&quot;??_-;_-@_-"/>
  </numFmts>
  <fonts count="4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8"/>
      <scheme val="minor"/>
    </font>
    <font>
      <name val="Calibri"/>
      <family val="2"/>
      <color theme="1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sz val="14"/>
      <scheme val="minor"/>
    </font>
    <font>
      <name val="Calibri"/>
      <family val="2"/>
      <i val="1"/>
      <color theme="1"/>
      <sz val="16"/>
      <scheme val="minor"/>
    </font>
    <font>
      <name val="Calibri"/>
      <family val="2"/>
      <color theme="1"/>
      <sz val="22"/>
      <scheme val="minor"/>
    </font>
    <font>
      <name val="Calibri"/>
      <family val="2"/>
      <color theme="1"/>
      <sz val="20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i val="1"/>
      <color theme="1"/>
      <sz val="18"/>
      <scheme val="minor"/>
    </font>
    <font>
      <name val="Calibri"/>
      <family val="2"/>
      <b val="1"/>
      <i val="1"/>
      <color theme="1"/>
      <sz val="18"/>
      <scheme val="minor"/>
    </font>
    <font>
      <name val="Century Gothic"/>
      <family val="2"/>
      <color theme="1"/>
      <sz val="18"/>
    </font>
    <font>
      <name val="Calibri"/>
      <family val="2"/>
      <color theme="1"/>
      <sz val="28"/>
      <scheme val="minor"/>
    </font>
    <font>
      <name val="Calibri"/>
      <family val="2"/>
      <color theme="1"/>
      <sz val="24"/>
      <scheme val="minor"/>
    </font>
    <font>
      <name val="Calibri"/>
      <family val="2"/>
      <color theme="1"/>
      <sz val="11"/>
      <u val="single"/>
      <scheme val="minor"/>
    </font>
    <font>
      <name val="Utsaah"/>
      <family val="2"/>
      <color theme="1"/>
      <sz val="14"/>
    </font>
    <font>
      <name val="Utsaah"/>
      <family val="2"/>
      <color theme="1"/>
      <sz val="11"/>
    </font>
    <font>
      <name val="Utsaah"/>
      <family val="2"/>
      <b val="1"/>
      <color theme="1"/>
      <sz val="12"/>
    </font>
    <font>
      <name val="Utsaah"/>
      <family val="2"/>
      <b val="1"/>
      <color theme="1"/>
      <sz val="16"/>
    </font>
    <font>
      <name val="Utsaah"/>
      <family val="2"/>
      <b val="1"/>
      <color theme="1"/>
      <sz val="14"/>
    </font>
    <font>
      <name val="Utsaah"/>
      <family val="2"/>
      <b val="1"/>
      <i val="1"/>
      <color theme="1"/>
      <sz val="14"/>
    </font>
    <font>
      <name val="Calibri"/>
      <family val="2"/>
      <b val="1"/>
      <color theme="1"/>
      <sz val="16"/>
      <scheme val="minor"/>
    </font>
    <font>
      <name val="Utsaah"/>
      <family val="2"/>
      <b val="1"/>
      <i val="1"/>
      <color theme="1"/>
      <sz val="16"/>
    </font>
    <font>
      <name val="Utsaah"/>
      <family val="2"/>
      <color theme="1"/>
      <sz val="16"/>
    </font>
    <font>
      <name val="Utsaah"/>
      <family val="2"/>
      <b val="1"/>
      <i val="1"/>
      <sz val="14"/>
    </font>
    <font>
      <name val="Utsaah"/>
      <family val="2"/>
      <i val="1"/>
      <color theme="1"/>
      <sz val="14"/>
    </font>
    <font>
      <name val="Utsaah"/>
      <family val="2"/>
      <i val="1"/>
      <color theme="1"/>
      <sz val="11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i val="1"/>
      <color theme="1"/>
      <sz val="20"/>
      <scheme val="minor"/>
    </font>
    <font>
      <name val="Segoe UI"/>
      <family val="2"/>
      <color rgb="FF202223"/>
      <sz val="11"/>
    </font>
    <font>
      <name val="Utsaah"/>
      <family val="2"/>
      <b val="1"/>
      <i val="1"/>
      <color theme="1"/>
      <sz val="11"/>
    </font>
    <font>
      <name val="Utsaah"/>
      <family val="2"/>
      <b val="1"/>
      <i val="1"/>
      <color theme="1"/>
      <sz val="12"/>
    </font>
    <font>
      <name val="Century Gothic"/>
      <family val="2"/>
      <i val="1"/>
      <color theme="1"/>
      <sz val="18"/>
    </font>
    <font>
      <name val="Calibri"/>
      <family val="2"/>
      <b val="1"/>
      <color theme="1"/>
      <sz val="14"/>
      <u val="single"/>
      <scheme val="minor"/>
    </font>
    <font>
      <name val="Calibri"/>
      <family val="2"/>
      <color theme="1"/>
      <sz val="18"/>
      <u val="single"/>
      <scheme val="minor"/>
    </font>
    <font>
      <name val="Calibri"/>
      <family val="2"/>
      <b val="1"/>
      <color theme="1"/>
      <sz val="16"/>
      <u val="single"/>
      <scheme val="minor"/>
    </font>
    <font>
      <name val="Calibri"/>
      <family val="2"/>
      <i val="1"/>
      <color theme="1"/>
      <sz val="18"/>
      <u val="single"/>
      <scheme val="minor"/>
    </font>
    <font>
      <name val="Calibri"/>
      <family val="2"/>
      <color theme="1"/>
      <sz val="22"/>
      <u val="single"/>
      <scheme val="minor"/>
    </font>
    <font>
      <name val="Calibri"/>
      <family val="2"/>
      <b val="1"/>
      <color theme="1"/>
      <sz val="18"/>
      <u val="single"/>
      <scheme val="minor"/>
    </font>
    <font>
      <name val="Segoe UI"/>
      <family val="2"/>
      <color indexed="81"/>
      <sz val="9"/>
    </font>
    <font>
      <name val="Segoe UI"/>
      <family val="2"/>
      <b val="1"/>
      <color indexed="81"/>
      <sz val="9"/>
    </font>
    <font>
      <name val="Calibri"/>
      <family val="2"/>
      <color theme="1"/>
      <sz val="14"/>
      <u val="singleAccounting"/>
      <scheme val="minor"/>
    </font>
    <font>
      <name val="Calibri"/>
      <family val="2"/>
      <sz val="8"/>
      <scheme val="minor"/>
    </font>
    <font>
      <name val="Calibri"/>
      <family val="2"/>
      <color theme="1"/>
      <sz val="14"/>
      <u val="single"/>
      <scheme val="minor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72F743"/>
        <bgColor indexed="64"/>
      </patternFill>
    </fill>
    <fill>
      <patternFill patternType="solid">
        <fgColor rgb="FF75F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32C1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32DE5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AFB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F4F6F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44" fontId="1" fillId="0" borderId="0"/>
    <xf numFmtId="9" fontId="1" fillId="0" borderId="0"/>
    <xf numFmtId="44" fontId="1" fillId="0" borderId="0"/>
  </cellStyleXfs>
  <cellXfs count="25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1">
      <alignment horizontal="center"/>
    </xf>
    <xf numFmtId="164" fontId="0" fillId="0" borderId="0" pivotButton="0" quotePrefix="0" xfId="1"/>
    <xf numFmtId="0" fontId="0" fillId="0" borderId="1" applyAlignment="1" pivotButton="0" quotePrefix="0" xfId="0">
      <alignment horizontal="center"/>
    </xf>
    <xf numFmtId="164" fontId="0" fillId="0" borderId="1" pivotButton="0" quotePrefix="0" xfId="1"/>
    <xf numFmtId="164" fontId="0" fillId="0" borderId="0" applyAlignment="1" pivotButton="0" quotePrefix="0" xfId="1">
      <alignment horizontal="center"/>
    </xf>
    <xf numFmtId="9" fontId="5" fillId="0" borderId="1" applyAlignment="1" pivotButton="0" quotePrefix="0" xfId="2">
      <alignment horizontal="center"/>
    </xf>
    <xf numFmtId="164" fontId="5" fillId="0" borderId="1" applyAlignment="1" pivotButton="0" quotePrefix="0" xfId="1">
      <alignment horizontal="center"/>
    </xf>
    <xf numFmtId="164" fontId="6" fillId="0" borderId="1" applyAlignment="1" pivotButton="0" quotePrefix="0" xfId="1">
      <alignment horizontal="center"/>
    </xf>
    <xf numFmtId="164" fontId="5" fillId="0" borderId="1" applyAlignment="1" pivotButton="0" quotePrefix="0" xfId="1">
      <alignment horizontal="center"/>
    </xf>
    <xf numFmtId="0" fontId="5" fillId="2" borderId="1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164" fontId="3" fillId="0" borderId="1" pivotButton="0" quotePrefix="0" xfId="0"/>
    <xf numFmtId="164" fontId="5" fillId="8" borderId="1" applyAlignment="1" pivotButton="0" quotePrefix="0" xfId="1">
      <alignment horizontal="center"/>
    </xf>
    <xf numFmtId="0" fontId="10" fillId="6" borderId="1" applyAlignment="1" pivotButton="0" quotePrefix="0" xfId="0">
      <alignment horizontal="center"/>
    </xf>
    <xf numFmtId="0" fontId="10" fillId="2" borderId="1" applyAlignment="1" pivotButton="0" quotePrefix="0" xfId="0">
      <alignment horizontal="center" vertical="center"/>
    </xf>
    <xf numFmtId="0" fontId="5" fillId="0" borderId="1" applyAlignment="1" pivotButton="0" quotePrefix="0" xfId="1">
      <alignment horizontal="center"/>
    </xf>
    <xf numFmtId="0" fontId="6" fillId="0" borderId="1" applyAlignment="1" pivotButton="0" quotePrefix="0" xfId="1">
      <alignment horizontal="center"/>
    </xf>
    <xf numFmtId="0" fontId="5" fillId="8" borderId="1" applyAlignment="1" pivotButton="0" quotePrefix="0" xfId="1">
      <alignment horizontal="center"/>
    </xf>
    <xf numFmtId="0" fontId="5" fillId="0" borderId="1" applyAlignment="1" pivotButton="0" quotePrefix="0" xfId="1">
      <alignment horizontal="center"/>
    </xf>
    <xf numFmtId="16" fontId="3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12" fillId="7" borderId="1" applyAlignment="1" pivotButton="0" quotePrefix="0" xfId="0">
      <alignment horizontal="center"/>
    </xf>
    <xf numFmtId="9" fontId="5" fillId="9" borderId="1" applyAlignment="1" pivotButton="0" quotePrefix="0" xfId="2">
      <alignment horizontal="center"/>
    </xf>
    <xf numFmtId="0" fontId="13" fillId="10" borderId="1" applyAlignment="1" pivotButton="0" quotePrefix="0" xfId="0">
      <alignment horizontal="center"/>
    </xf>
    <xf numFmtId="0" fontId="7" fillId="2" borderId="1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/>
    </xf>
    <xf numFmtId="0" fontId="0" fillId="0" borderId="6" pivotButton="0" quotePrefix="0" xfId="0"/>
    <xf numFmtId="0" fontId="14" fillId="7" borderId="1" applyAlignment="1" pivotButton="0" quotePrefix="0" xfId="0">
      <alignment horizontal="center"/>
    </xf>
    <xf numFmtId="164" fontId="3" fillId="7" borderId="1" pivotButton="0" quotePrefix="0" xfId="1"/>
    <xf numFmtId="9" fontId="5" fillId="0" borderId="6" applyAlignment="1" pivotButton="0" quotePrefix="0" xfId="2">
      <alignment horizontal="center"/>
    </xf>
    <xf numFmtId="164" fontId="9" fillId="0" borderId="1" pivotButton="0" quotePrefix="0" xfId="0"/>
    <xf numFmtId="164" fontId="8" fillId="2" borderId="1" applyAlignment="1" pivotButton="0" quotePrefix="0" xfId="0">
      <alignment horizontal="center" vertical="center"/>
    </xf>
    <xf numFmtId="9" fontId="15" fillId="2" borderId="1" applyAlignment="1" pivotButton="0" quotePrefix="0" xfId="2">
      <alignment horizontal="center"/>
    </xf>
    <xf numFmtId="0" fontId="11" fillId="7" borderId="4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/>
    </xf>
    <xf numFmtId="0" fontId="5" fillId="8" borderId="3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5" fillId="8" borderId="4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16" fillId="0" borderId="0" pivotButton="0" quotePrefix="0" xfId="0"/>
    <xf numFmtId="0" fontId="11" fillId="7" borderId="1" applyAlignment="1" pivotButton="0" quotePrefix="0" xfId="0">
      <alignment horizontal="center" vertical="center"/>
    </xf>
    <xf numFmtId="164" fontId="5" fillId="0" borderId="2" applyAlignment="1" pivotButton="0" quotePrefix="0" xfId="1">
      <alignment horizontal="center"/>
    </xf>
    <xf numFmtId="164" fontId="3" fillId="7" borderId="1" applyAlignment="1" pivotButton="0" quotePrefix="0" xfId="1">
      <alignment horizontal="center"/>
    </xf>
    <xf numFmtId="49" fontId="5" fillId="0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/>
    </xf>
    <xf numFmtId="3" fontId="5" fillId="0" borderId="1" applyAlignment="1" pivotButton="0" quotePrefix="0" xfId="0">
      <alignment horizontal="center"/>
    </xf>
    <xf numFmtId="10" fontId="5" fillId="0" borderId="1" applyAlignment="1" pivotButton="0" quotePrefix="0" xfId="2">
      <alignment horizontal="center"/>
    </xf>
    <xf numFmtId="0" fontId="18" fillId="0" borderId="0" pivotButton="0" quotePrefix="0" xfId="0"/>
    <xf numFmtId="14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164" fontId="18" fillId="0" borderId="1" applyAlignment="1" pivotButton="0" quotePrefix="0" xfId="1">
      <alignment horizontal="center"/>
    </xf>
    <xf numFmtId="164" fontId="17" fillId="0" borderId="1" applyAlignment="1" pivotButton="0" quotePrefix="0" xfId="0">
      <alignment horizontal="center" vertical="center"/>
    </xf>
    <xf numFmtId="164" fontId="18" fillId="0" borderId="0" pivotButton="0" quotePrefix="0" xfId="0"/>
    <xf numFmtId="2" fontId="20" fillId="0" borderId="1" applyAlignment="1" pivotButton="0" quotePrefix="0" xfId="0">
      <alignment horizontal="center"/>
    </xf>
    <xf numFmtId="164" fontId="21" fillId="0" borderId="1" pivotButton="0" quotePrefix="0" xfId="1"/>
    <xf numFmtId="164" fontId="21" fillId="0" borderId="1" applyAlignment="1" pivotButton="0" quotePrefix="0" xfId="1">
      <alignment horizontal="center"/>
    </xf>
    <xf numFmtId="0" fontId="13" fillId="7" borderId="1" applyAlignment="1" pivotButton="0" quotePrefix="0" xfId="0">
      <alignment horizontal="center"/>
    </xf>
    <xf numFmtId="0" fontId="0" fillId="13" borderId="1" pivotButton="0" quotePrefix="0" xfId="0"/>
    <xf numFmtId="164" fontId="5" fillId="13" borderId="1" applyAlignment="1" pivotButton="0" quotePrefix="0" xfId="1">
      <alignment horizontal="center"/>
    </xf>
    <xf numFmtId="164" fontId="5" fillId="14" borderId="1" applyAlignment="1" pivotButton="0" quotePrefix="0" xfId="1">
      <alignment horizontal="center"/>
    </xf>
    <xf numFmtId="164" fontId="5" fillId="15" borderId="1" applyAlignment="1" pivotButton="0" quotePrefix="0" xfId="1">
      <alignment horizontal="center"/>
    </xf>
    <xf numFmtId="164" fontId="6" fillId="14" borderId="1" applyAlignment="1" pivotButton="0" quotePrefix="0" xfId="1">
      <alignment horizontal="center"/>
    </xf>
    <xf numFmtId="0" fontId="13" fillId="8" borderId="1" applyAlignment="1" pivotButton="0" quotePrefix="0" xfId="0">
      <alignment horizontal="center"/>
    </xf>
    <xf numFmtId="0" fontId="4" fillId="10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10" fillId="2" borderId="6" applyAlignment="1" pivotButton="0" quotePrefix="0" xfId="0">
      <alignment horizontal="center" vertical="center"/>
    </xf>
    <xf numFmtId="164" fontId="8" fillId="8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164" fontId="5" fillId="13" borderId="1" pivotButton="0" quotePrefix="0" xfId="1"/>
    <xf numFmtId="164" fontId="25" fillId="11" borderId="3" applyAlignment="1" pivotButton="0" quotePrefix="0" xfId="1">
      <alignment horizontal="center"/>
    </xf>
    <xf numFmtId="2" fontId="10" fillId="15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164" fontId="9" fillId="3" borderId="1" applyAlignment="1" pivotButton="0" quotePrefix="0" xfId="1">
      <alignment horizontal="center"/>
    </xf>
    <xf numFmtId="0" fontId="4" fillId="3" borderId="1" applyAlignment="1" pivotButton="0" quotePrefix="0" xfId="0">
      <alignment horizontal="center"/>
    </xf>
    <xf numFmtId="164" fontId="3" fillId="3" borderId="1" pivotButton="0" quotePrefix="0" xfId="1"/>
    <xf numFmtId="164" fontId="19" fillId="0" borderId="3" pivotButton="0" quotePrefix="0" xfId="0"/>
    <xf numFmtId="2" fontId="5" fillId="2" borderId="1" applyAlignment="1" pivotButton="0" quotePrefix="0" xfId="0">
      <alignment horizontal="center"/>
    </xf>
    <xf numFmtId="0" fontId="22" fillId="2" borderId="1" applyAlignment="1" pivotButton="0" quotePrefix="0" xfId="0">
      <alignment horizontal="center" vertical="center"/>
    </xf>
    <xf numFmtId="164" fontId="26" fillId="2" borderId="1" applyAlignment="1" pivotButton="0" quotePrefix="0" xfId="1">
      <alignment horizontal="center" vertical="center"/>
    </xf>
    <xf numFmtId="0" fontId="27" fillId="8" borderId="3" applyAlignment="1" pivotButton="0" quotePrefix="0" xfId="0">
      <alignment horizontal="center" vertical="center"/>
    </xf>
    <xf numFmtId="0" fontId="27" fillId="2" borderId="3" applyAlignment="1" pivotButton="0" quotePrefix="0" xfId="0">
      <alignment horizontal="center" vertical="center"/>
    </xf>
    <xf numFmtId="0" fontId="27" fillId="5" borderId="1" applyAlignment="1" pivotButton="0" quotePrefix="0" xfId="0">
      <alignment horizontal="center" vertical="center"/>
    </xf>
    <xf numFmtId="0" fontId="27" fillId="4" borderId="1" applyAlignment="1" pivotButton="0" quotePrefix="0" xfId="0">
      <alignment horizontal="center" vertical="center"/>
    </xf>
    <xf numFmtId="0" fontId="27" fillId="3" borderId="1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2" fontId="3" fillId="15" borderId="1" applyAlignment="1" pivotButton="0" quotePrefix="0" xfId="0">
      <alignment horizontal="center" vertical="center"/>
    </xf>
    <xf numFmtId="164" fontId="21" fillId="0" borderId="0" pivotButton="0" quotePrefix="0" xfId="1"/>
    <xf numFmtId="0" fontId="24" fillId="16" borderId="3" applyAlignment="1" pivotButton="0" quotePrefix="0" xfId="0">
      <alignment horizontal="center"/>
    </xf>
    <xf numFmtId="0" fontId="17" fillId="16" borderId="1" applyAlignment="1" pivotButton="0" quotePrefix="0" xfId="0">
      <alignment horizontal="center"/>
    </xf>
    <xf numFmtId="0" fontId="31" fillId="2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11" fillId="7" borderId="6" applyAlignment="1" pivotButton="0" quotePrefix="0" xfId="0">
      <alignment horizontal="center" vertical="center"/>
    </xf>
    <xf numFmtId="164" fontId="4" fillId="2" borderId="1" pivotButton="0" quotePrefix="0" xfId="0"/>
    <xf numFmtId="0" fontId="32" fillId="17" borderId="7" applyAlignment="1" pivotButton="0" quotePrefix="0" xfId="0">
      <alignment vertical="center"/>
    </xf>
    <xf numFmtId="0" fontId="32" fillId="18" borderId="7" applyAlignment="1" pivotButton="0" quotePrefix="0" xfId="0">
      <alignment vertical="center"/>
    </xf>
    <xf numFmtId="164" fontId="4" fillId="0" borderId="1" applyAlignment="1" pivotButton="0" quotePrefix="0" xfId="1">
      <alignment horizontal="center"/>
    </xf>
    <xf numFmtId="0" fontId="32" fillId="17" borderId="7" applyAlignment="1" pivotButton="0" quotePrefix="0" xfId="0">
      <alignment horizontal="center" vertical="center"/>
    </xf>
    <xf numFmtId="0" fontId="32" fillId="18" borderId="7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/>
    </xf>
    <xf numFmtId="0" fontId="18" fillId="2" borderId="0" applyAlignment="1" pivotButton="0" quotePrefix="0" xfId="0">
      <alignment horizontal="center"/>
    </xf>
    <xf numFmtId="0" fontId="18" fillId="4" borderId="0" applyAlignment="1" pivotButton="0" quotePrefix="0" xfId="0">
      <alignment horizontal="center"/>
    </xf>
    <xf numFmtId="0" fontId="33" fillId="7" borderId="3" applyAlignment="1" pivotButton="0" quotePrefix="0" xfId="0">
      <alignment horizontal="center" vertical="top"/>
    </xf>
    <xf numFmtId="0" fontId="33" fillId="2" borderId="1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14" fontId="18" fillId="16" borderId="1" applyAlignment="1" pivotButton="0" quotePrefix="0" xfId="0">
      <alignment horizontal="center" vertical="center"/>
    </xf>
    <xf numFmtId="0" fontId="18" fillId="16" borderId="1" applyAlignment="1" pivotButton="0" quotePrefix="0" xfId="0">
      <alignment horizontal="center" vertical="center"/>
    </xf>
    <xf numFmtId="164" fontId="18" fillId="16" borderId="1" applyAlignment="1" pivotButton="0" quotePrefix="0" xfId="1">
      <alignment horizontal="center"/>
    </xf>
    <xf numFmtId="164" fontId="5" fillId="13" borderId="1" applyAlignment="1" pivotButton="0" quotePrefix="0" xfId="3">
      <alignment horizontal="center"/>
    </xf>
    <xf numFmtId="164" fontId="5" fillId="14" borderId="1" applyAlignment="1" pivotButton="0" quotePrefix="0" xfId="3">
      <alignment horizontal="center"/>
    </xf>
    <xf numFmtId="164" fontId="5" fillId="15" borderId="1" applyAlignment="1" pivotButton="0" quotePrefix="0" xfId="3">
      <alignment horizontal="center"/>
    </xf>
    <xf numFmtId="14" fontId="18" fillId="4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164" fontId="18" fillId="4" borderId="1" applyAlignment="1" pivotButton="0" quotePrefix="0" xfId="1">
      <alignment horizontal="center"/>
    </xf>
    <xf numFmtId="2" fontId="5" fillId="16" borderId="1" applyAlignment="1" pivotButton="0" quotePrefix="0" xfId="0">
      <alignment horizontal="center"/>
    </xf>
    <xf numFmtId="0" fontId="35" fillId="7" borderId="1" applyAlignment="1" pivotButton="0" quotePrefix="0" xfId="0">
      <alignment horizontal="center" vertical="center"/>
    </xf>
    <xf numFmtId="0" fontId="36" fillId="0" borderId="0" applyAlignment="1" pivotButton="0" quotePrefix="0" xfId="0">
      <alignment vertical="center"/>
    </xf>
    <xf numFmtId="0" fontId="39" fillId="7" borderId="1" applyAlignment="1" pivotButton="0" quotePrefix="0" xfId="0">
      <alignment horizontal="center" vertical="center"/>
    </xf>
    <xf numFmtId="164" fontId="40" fillId="2" borderId="1" applyAlignment="1" pivotButton="0" quotePrefix="0" xfId="0">
      <alignment horizontal="center" vertical="center"/>
    </xf>
    <xf numFmtId="164" fontId="40" fillId="8" borderId="1" applyAlignment="1" pivotButton="0" quotePrefix="0" xfId="0">
      <alignment horizontal="center" vertical="center"/>
    </xf>
    <xf numFmtId="2" fontId="41" fillId="15" borderId="1" applyAlignment="1" pivotButton="0" quotePrefix="0" xfId="0">
      <alignment horizontal="center" vertical="center"/>
    </xf>
    <xf numFmtId="2" fontId="37" fillId="15" borderId="1" applyAlignment="1" pivotButton="0" quotePrefix="0" xfId="0">
      <alignment horizontal="center" vertical="center"/>
    </xf>
    <xf numFmtId="0" fontId="37" fillId="15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164" fontId="5" fillId="4" borderId="1" applyAlignment="1" pivotButton="0" quotePrefix="0" xfId="3">
      <alignment horizontal="center"/>
    </xf>
    <xf numFmtId="0" fontId="23" fillId="0" borderId="0" applyAlignment="1" pivotButton="0" quotePrefix="0" xfId="0">
      <alignment vertical="center"/>
    </xf>
    <xf numFmtId="164" fontId="44" fillId="13" borderId="1" applyAlignment="1" pivotButton="0" quotePrefix="0" xfId="3">
      <alignment horizontal="center"/>
    </xf>
    <xf numFmtId="2" fontId="46" fillId="16" borderId="1" applyAlignment="1" pivotButton="0" quotePrefix="0" xfId="0">
      <alignment horizontal="center"/>
    </xf>
    <xf numFmtId="164" fontId="20" fillId="11" borderId="1" applyAlignment="1" pivotButton="0" quotePrefix="0" xfId="1">
      <alignment horizontal="center" vertical="center"/>
    </xf>
    <xf numFmtId="0" fontId="34" fillId="2" borderId="1" applyAlignment="1" pivotButton="0" quotePrefix="0" xfId="0">
      <alignment horizontal="center"/>
    </xf>
    <xf numFmtId="0" fontId="10" fillId="14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23" fillId="3" borderId="4" applyAlignment="1" pivotButton="0" quotePrefix="0" xfId="0">
      <alignment horizontal="center" vertical="center"/>
    </xf>
    <xf numFmtId="0" fontId="23" fillId="3" borderId="5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3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4" fontId="10" fillId="2" borderId="1" applyAlignment="1" pivotButton="0" quotePrefix="0" xfId="0">
      <alignment horizontal="center"/>
    </xf>
    <xf numFmtId="0" fontId="4" fillId="4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30" fillId="3" borderId="1" applyAlignment="1" pivotButton="0" quotePrefix="0" xfId="0">
      <alignment horizontal="center" vertical="center"/>
    </xf>
    <xf numFmtId="0" fontId="30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9" fillId="16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3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/>
    </xf>
    <xf numFmtId="0" fontId="2" fillId="7" borderId="1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23" fillId="7" borderId="4" applyAlignment="1" pivotButton="0" quotePrefix="0" xfId="0">
      <alignment horizontal="center" vertical="center"/>
    </xf>
    <xf numFmtId="0" fontId="23" fillId="7" borderId="5" applyAlignment="1" pivotButton="0" quotePrefix="0" xfId="0">
      <alignment horizontal="center" vertical="center"/>
    </xf>
    <xf numFmtId="0" fontId="3" fillId="10" borderId="4" applyAlignment="1" pivotButton="0" quotePrefix="0" xfId="0">
      <alignment horizontal="center" vertical="center"/>
    </xf>
    <xf numFmtId="0" fontId="3" fillId="10" borderId="5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3" fillId="10" borderId="0" applyAlignment="1" pivotButton="0" quotePrefix="0" xfId="0">
      <alignment horizontal="center" vertical="center"/>
    </xf>
    <xf numFmtId="0" fontId="23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37" fillId="3" borderId="4" applyAlignment="1" pivotButton="0" quotePrefix="0" xfId="0">
      <alignment horizontal="center" vertical="center"/>
    </xf>
    <xf numFmtId="0" fontId="37" fillId="3" borderId="5" applyAlignment="1" pivotButton="0" quotePrefix="0" xfId="0">
      <alignment horizontal="center" vertical="center"/>
    </xf>
    <xf numFmtId="0" fontId="37" fillId="10" borderId="4" applyAlignment="1" pivotButton="0" quotePrefix="0" xfId="0">
      <alignment horizontal="center" vertical="center"/>
    </xf>
    <xf numFmtId="0" fontId="37" fillId="10" borderId="5" applyAlignment="1" pivotButton="0" quotePrefix="0" xfId="0">
      <alignment horizontal="center" vertical="center"/>
    </xf>
    <xf numFmtId="0" fontId="38" fillId="7" borderId="4" applyAlignment="1" pivotButton="0" quotePrefix="0" xfId="0">
      <alignment horizontal="center" vertical="center"/>
    </xf>
    <xf numFmtId="0" fontId="38" fillId="7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164" fontId="26" fillId="2" borderId="1" applyAlignment="1" pivotButton="0" quotePrefix="0" xfId="1">
      <alignment horizontal="center" vertical="center"/>
    </xf>
    <xf numFmtId="164" fontId="18" fillId="0" borderId="1" applyAlignment="1" pivotButton="0" quotePrefix="0" xfId="1">
      <alignment horizontal="center"/>
    </xf>
    <xf numFmtId="164" fontId="20" fillId="11" borderId="1" applyAlignment="1" pivotButton="0" quotePrefix="0" xfId="1">
      <alignment horizontal="center" vertical="center"/>
    </xf>
    <xf numFmtId="164" fontId="25" fillId="11" borderId="3" applyAlignment="1" pivotButton="0" quotePrefix="0" xfId="1">
      <alignment horizontal="center"/>
    </xf>
    <xf numFmtId="164" fontId="21" fillId="0" borderId="1" pivotButton="0" quotePrefix="0" xfId="1"/>
    <xf numFmtId="164" fontId="21" fillId="0" borderId="1" applyAlignment="1" pivotButton="0" quotePrefix="0" xfId="1">
      <alignment horizontal="center"/>
    </xf>
    <xf numFmtId="164" fontId="17" fillId="0" borderId="1" applyAlignment="1" pivotButton="0" quotePrefix="0" xfId="0">
      <alignment horizontal="center" vertical="center"/>
    </xf>
    <xf numFmtId="0" fontId="0" fillId="0" borderId="5" pivotButton="0" quotePrefix="0" xfId="0"/>
    <xf numFmtId="164" fontId="21" fillId="0" borderId="0" pivotButton="0" quotePrefix="0" xfId="1"/>
    <xf numFmtId="0" fontId="0" fillId="0" borderId="3" pivotButton="0" quotePrefix="0" xfId="0"/>
    <xf numFmtId="164" fontId="19" fillId="0" borderId="3" pivotButton="0" quotePrefix="0" xfId="0"/>
    <xf numFmtId="164" fontId="18" fillId="0" borderId="0" pivotButton="0" quotePrefix="0" xfId="0"/>
    <xf numFmtId="164" fontId="18" fillId="16" borderId="1" applyAlignment="1" pivotButton="0" quotePrefix="0" xfId="1">
      <alignment horizontal="center"/>
    </xf>
    <xf numFmtId="164" fontId="18" fillId="4" borderId="1" applyAlignment="1" pivotButton="0" quotePrefix="0" xfId="1">
      <alignment horizontal="center"/>
    </xf>
    <xf numFmtId="164" fontId="9" fillId="3" borderId="1" applyAlignment="1" pivotButton="0" quotePrefix="0" xfId="1">
      <alignment horizontal="center"/>
    </xf>
    <xf numFmtId="0" fontId="0" fillId="0" borderId="16" pivotButton="0" quotePrefix="0" xfId="0"/>
    <xf numFmtId="164" fontId="3" fillId="3" borderId="1" pivotButton="0" quotePrefix="0" xfId="1"/>
    <xf numFmtId="0" fontId="23" fillId="3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/>
    </xf>
    <xf numFmtId="164" fontId="8" fillId="8" borderId="1" applyAlignment="1" pivotButton="0" quotePrefix="0" xfId="0">
      <alignment horizontal="center" vertical="center"/>
    </xf>
    <xf numFmtId="164" fontId="5" fillId="14" borderId="1" applyAlignment="1" pivotButton="0" quotePrefix="0" xfId="1">
      <alignment horizontal="center"/>
    </xf>
    <xf numFmtId="164" fontId="5" fillId="15" borderId="1" applyAlignment="1" pivotButton="0" quotePrefix="0" xfId="1">
      <alignment horizontal="center"/>
    </xf>
    <xf numFmtId="164" fontId="6" fillId="14" borderId="1" applyAlignment="1" pivotButton="0" quotePrefix="0" xfId="1">
      <alignment horizontal="center"/>
    </xf>
    <xf numFmtId="164" fontId="0" fillId="0" borderId="1" applyAlignment="1" pivotButton="0" quotePrefix="0" xfId="1">
      <alignment horizontal="center"/>
    </xf>
    <xf numFmtId="164" fontId="0" fillId="0" borderId="1" pivotButton="0" quotePrefix="0" xfId="1"/>
    <xf numFmtId="164" fontId="4" fillId="2" borderId="1" pivotButton="0" quotePrefix="0" xfId="0"/>
    <xf numFmtId="164" fontId="4" fillId="0" borderId="1" applyAlignment="1" pivotButton="0" quotePrefix="0" xfId="1">
      <alignment horizontal="center"/>
    </xf>
    <xf numFmtId="164" fontId="4" fillId="0" borderId="1" applyAlignment="1" pivotButton="0" quotePrefix="0" xfId="0">
      <alignment horizontal="center"/>
    </xf>
    <xf numFmtId="164" fontId="0" fillId="0" borderId="0" pivotButton="0" quotePrefix="0" xfId="1"/>
    <xf numFmtId="164" fontId="0" fillId="0" borderId="0" applyAlignment="1" pivotButton="0" quotePrefix="0" xfId="1">
      <alignment horizontal="center"/>
    </xf>
    <xf numFmtId="164" fontId="5" fillId="13" borderId="1" applyAlignment="1" pivotButton="0" quotePrefix="0" xfId="1">
      <alignment horizontal="center"/>
    </xf>
    <xf numFmtId="0" fontId="0" fillId="0" borderId="2" pivotButton="0" quotePrefix="0" xfId="0"/>
    <xf numFmtId="164" fontId="5" fillId="13" borderId="1" pivotButton="0" quotePrefix="0" xfId="1"/>
    <xf numFmtId="164" fontId="5" fillId="0" borderId="1" applyAlignment="1" pivotButton="0" quotePrefix="0" xfId="1">
      <alignment horizontal="center"/>
    </xf>
    <xf numFmtId="164" fontId="6" fillId="0" borderId="1" applyAlignment="1" pivotButton="0" quotePrefix="0" xfId="1">
      <alignment horizontal="center"/>
    </xf>
    <xf numFmtId="164" fontId="5" fillId="8" borderId="1" applyAlignment="1" pivotButton="0" quotePrefix="0" xfId="1">
      <alignment horizontal="center"/>
    </xf>
    <xf numFmtId="164" fontId="3" fillId="7" borderId="1" applyAlignment="1" pivotButton="0" quotePrefix="0" xfId="1">
      <alignment horizontal="center"/>
    </xf>
    <xf numFmtId="164" fontId="3" fillId="0" borderId="1" pivotButton="0" quotePrefix="0" xfId="0"/>
    <xf numFmtId="164" fontId="5" fillId="0" borderId="2" applyAlignment="1" pivotButton="0" quotePrefix="0" xfId="1">
      <alignment horizontal="center"/>
    </xf>
    <xf numFmtId="164" fontId="9" fillId="0" borderId="1" pivotButton="0" quotePrefix="0" xfId="0"/>
    <xf numFmtId="164" fontId="3" fillId="7" borderId="1" pivotButton="0" quotePrefix="0" xfId="1"/>
    <xf numFmtId="164" fontId="5" fillId="14" borderId="1" applyAlignment="1" pivotButton="0" quotePrefix="0" xfId="3">
      <alignment horizontal="center"/>
    </xf>
    <xf numFmtId="164" fontId="5" fillId="15" borderId="1" applyAlignment="1" pivotButton="0" quotePrefix="0" xfId="3">
      <alignment horizontal="center"/>
    </xf>
    <xf numFmtId="164" fontId="5" fillId="13" borderId="1" applyAlignment="1" pivotButton="0" quotePrefix="0" xfId="3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37" fillId="3" borderId="1" applyAlignment="1" pivotButton="0" quotePrefix="0" xfId="0">
      <alignment horizontal="center" vertical="center"/>
    </xf>
    <xf numFmtId="0" fontId="37" fillId="10" borderId="1" applyAlignment="1" pivotButton="0" quotePrefix="0" xfId="0">
      <alignment horizontal="center" vertical="center"/>
    </xf>
    <xf numFmtId="0" fontId="38" fillId="7" borderId="1" applyAlignment="1" pivotButton="0" quotePrefix="0" xfId="0">
      <alignment horizontal="center" vertical="center"/>
    </xf>
    <xf numFmtId="164" fontId="40" fillId="2" borderId="1" applyAlignment="1" pivotButton="0" quotePrefix="0" xfId="0">
      <alignment horizontal="center" vertical="center"/>
    </xf>
    <xf numFmtId="164" fontId="40" fillId="8" borderId="1" applyAlignment="1" pivotButton="0" quotePrefix="0" xfId="0">
      <alignment horizontal="center" vertical="center"/>
    </xf>
    <xf numFmtId="164" fontId="5" fillId="4" borderId="1" applyAlignment="1" pivotButton="0" quotePrefix="0" xfId="3">
      <alignment horizontal="center"/>
    </xf>
    <xf numFmtId="0" fontId="0" fillId="0" borderId="1" applyAlignment="1" pivotButton="0" quotePrefix="0" xfId="0">
      <alignment horizontal="center" vertical="center"/>
    </xf>
    <xf numFmtId="164" fontId="44" fillId="13" borderId="1" applyAlignment="1" pivotButton="0" quotePrefix="0" xfId="3">
      <alignment horizontal="center"/>
    </xf>
  </cellXfs>
  <cellStyles count="4">
    <cellStyle name="Normal" xfId="0" builtinId="0"/>
    <cellStyle name="Moeda" xfId="1" builtinId="4"/>
    <cellStyle name="Porcentagem" xfId="2" builtinId="5"/>
    <cellStyle name="Moeda 2" xfId="3"/>
  </cellStyles>
  <dxfs count="22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8983808824730916"/>
          <y val="0.05526501429168029"/>
          <w val="0.8849852710998972"/>
          <h val="0.8031981097664481"/>
        </manualLayout>
      </layout>
      <lineChart>
        <grouping val="standard"/>
        <varyColors val="0"/>
        <ser>
          <idx val="0"/>
          <order val="0"/>
          <tx>
            <strRef>
              <f>GERAL!$B$3:$B$4</f>
              <strCache>
                <ptCount val="2"/>
                <pt idx="0">
                  <v>FATURADO</v>
                </pt>
              </strCache>
            </strRef>
          </tx>
          <spPr>
            <a:ln xmlns:a="http://schemas.openxmlformats.org/drawingml/2006/main" w="22225" cap="rnd">
              <a:solidFill>
                <a:schemeClr val="accent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200" b="0" i="0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GERAL!$A$5:$A$25</f>
              <strCache>
                <ptCount val="21"/>
                <pt idx="0">
                  <v>MAR</v>
                </pt>
                <pt idx="1">
                  <v>ABR</v>
                </pt>
                <pt idx="2">
                  <v>MAI</v>
                </pt>
                <pt idx="3">
                  <v>JUN</v>
                </pt>
                <pt idx="4">
                  <v>JUL</v>
                </pt>
                <pt idx="5">
                  <v>AGO</v>
                </pt>
                <pt idx="6">
                  <v>SET</v>
                </pt>
                <pt idx="7">
                  <v>OUT</v>
                </pt>
                <pt idx="8">
                  <v>NOV</v>
                </pt>
                <pt idx="9">
                  <v>DEZ</v>
                </pt>
                <pt idx="10">
                  <v>JAN</v>
                </pt>
                <pt idx="11">
                  <v>FEV</v>
                </pt>
                <pt idx="12">
                  <v>MAR</v>
                </pt>
                <pt idx="13">
                  <v>ABRIL</v>
                </pt>
                <pt idx="14">
                  <v>MAIO</v>
                </pt>
                <pt idx="15">
                  <v>JUNHO</v>
                </pt>
                <pt idx="16">
                  <v>JULHO</v>
                </pt>
                <pt idx="17">
                  <v>AGOSTO</v>
                </pt>
                <pt idx="18">
                  <v>SETEMBRO</v>
                </pt>
                <pt idx="19">
                  <v>OUTUBRO</v>
                </pt>
                <pt idx="20">
                  <v>NOVEMBRO</v>
                </pt>
              </strCache>
            </strRef>
          </cat>
          <val>
            <numRef>
              <f>GERAL!$B$5:$B$25</f>
              <numCache>
                <formatCode>_("R$"* #,##0.00_);_("R$"* \(#,##0.00\);_("R$"* "-"??_);_(@_)</formatCode>
                <ptCount val="21"/>
                <pt idx="0">
                  <v>1603</v>
                </pt>
                <pt idx="1">
                  <v>313</v>
                </pt>
                <pt idx="2">
                  <v>1616</v>
                </pt>
                <pt idx="3">
                  <v>3040</v>
                </pt>
                <pt idx="4">
                  <v>5510</v>
                </pt>
                <pt idx="5">
                  <v>7655</v>
                </pt>
                <pt idx="6">
                  <v>9416</v>
                </pt>
                <pt idx="7">
                  <v>8850</v>
                </pt>
                <pt idx="8">
                  <v>13978</v>
                </pt>
                <pt idx="9">
                  <v>19727</v>
                </pt>
                <pt idx="10">
                  <v>10279</v>
                </pt>
                <pt idx="11">
                  <v>19359</v>
                </pt>
                <pt idx="12">
                  <v>8804</v>
                </pt>
                <pt idx="13">
                  <v>13735</v>
                </pt>
                <pt idx="14">
                  <v>10110</v>
                </pt>
                <pt idx="15">
                  <v>15745</v>
                </pt>
                <pt idx="16">
                  <v>10899</v>
                </pt>
                <pt idx="17">
                  <v>10733</v>
                </pt>
                <pt idx="18">
                  <v>12578</v>
                </pt>
                <pt idx="19">
                  <v>10924</v>
                </pt>
                <pt idx="20">
                  <v>6965</v>
                </pt>
              </numCache>
            </numRef>
          </val>
          <smooth val="0"/>
        </ser>
        <ser>
          <idx val="1"/>
          <order val="1"/>
          <tx>
            <strRef>
              <f>GERAL!$C$3:$C$4</f>
              <strCache>
                <ptCount val="2"/>
                <pt idx="0">
                  <v>LIQUIDO</v>
                </pt>
              </strCache>
            </strRef>
          </tx>
          <spPr>
            <a:ln xmlns:a="http://schemas.openxmlformats.org/drawingml/2006/main" w="22225" cap="rnd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2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200" b="0" i="0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GERAL!$A$5:$A$25</f>
              <strCache>
                <ptCount val="21"/>
                <pt idx="0">
                  <v>MAR</v>
                </pt>
                <pt idx="1">
                  <v>ABR</v>
                </pt>
                <pt idx="2">
                  <v>MAI</v>
                </pt>
                <pt idx="3">
                  <v>JUN</v>
                </pt>
                <pt idx="4">
                  <v>JUL</v>
                </pt>
                <pt idx="5">
                  <v>AGO</v>
                </pt>
                <pt idx="6">
                  <v>SET</v>
                </pt>
                <pt idx="7">
                  <v>OUT</v>
                </pt>
                <pt idx="8">
                  <v>NOV</v>
                </pt>
                <pt idx="9">
                  <v>DEZ</v>
                </pt>
                <pt idx="10">
                  <v>JAN</v>
                </pt>
                <pt idx="11">
                  <v>FEV</v>
                </pt>
                <pt idx="12">
                  <v>MAR</v>
                </pt>
                <pt idx="13">
                  <v>ABRIL</v>
                </pt>
                <pt idx="14">
                  <v>MAIO</v>
                </pt>
                <pt idx="15">
                  <v>JUNHO</v>
                </pt>
                <pt idx="16">
                  <v>JULHO</v>
                </pt>
                <pt idx="17">
                  <v>AGOSTO</v>
                </pt>
                <pt idx="18">
                  <v>SETEMBRO</v>
                </pt>
                <pt idx="19">
                  <v>OUTUBRO</v>
                </pt>
                <pt idx="20">
                  <v>NOVEMBRO</v>
                </pt>
              </strCache>
            </strRef>
          </cat>
          <val>
            <numRef>
              <f>GERAL!$C$5:$C$25</f>
              <numCache>
                <formatCode>_("R$"* #,##0.00_);_("R$"* \(#,##0.00\);_("R$"* "-"??_);_(@_)</formatCode>
                <ptCount val="21"/>
                <pt idx="0">
                  <v>848</v>
                </pt>
                <pt idx="1">
                  <v>313</v>
                </pt>
                <pt idx="2">
                  <v>1272</v>
                </pt>
                <pt idx="3">
                  <v>2696</v>
                </pt>
                <pt idx="4">
                  <v>2554</v>
                </pt>
                <pt idx="5">
                  <v>6041</v>
                </pt>
                <pt idx="6">
                  <v>7902</v>
                </pt>
                <pt idx="7">
                  <v>6706</v>
                </pt>
                <pt idx="8">
                  <v>13486</v>
                </pt>
                <pt idx="9">
                  <v>12605</v>
                </pt>
                <pt idx="10">
                  <v>7556</v>
                </pt>
                <pt idx="11">
                  <v>13288</v>
                </pt>
                <pt idx="12">
                  <v>8473</v>
                </pt>
                <pt idx="13">
                  <v>10367</v>
                </pt>
                <pt idx="14">
                  <v>6251</v>
                </pt>
                <pt idx="15">
                  <v>13383</v>
                </pt>
                <pt idx="16">
                  <v>9176</v>
                </pt>
                <pt idx="17">
                  <v>8125</v>
                </pt>
                <pt idx="18">
                  <v>11379</v>
                </pt>
                <pt idx="19">
                  <v>5276</v>
                </pt>
                <pt idx="20">
                  <v>5898</v>
                </pt>
              </numCache>
            </numRef>
          </val>
          <smooth val="0"/>
        </ser>
        <ser>
          <idx val="2"/>
          <order val="2"/>
          <tx>
            <strRef>
              <f>GERAL!$D$3:$D$4</f>
              <strCache>
                <ptCount val="2"/>
                <pt idx="0">
                  <v>INVEST</v>
                </pt>
              </strCache>
            </strRef>
          </tx>
          <spPr>
            <a:ln xmlns:a="http://schemas.openxmlformats.org/drawingml/2006/main" w="22225" cap="rnd">
              <a:solidFill>
                <a:schemeClr val="accent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0"/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200" b="0" i="0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GERAL!$A$5:$A$25</f>
              <strCache>
                <ptCount val="21"/>
                <pt idx="0">
                  <v>MAR</v>
                </pt>
                <pt idx="1">
                  <v>ABR</v>
                </pt>
                <pt idx="2">
                  <v>MAI</v>
                </pt>
                <pt idx="3">
                  <v>JUN</v>
                </pt>
                <pt idx="4">
                  <v>JUL</v>
                </pt>
                <pt idx="5">
                  <v>AGO</v>
                </pt>
                <pt idx="6">
                  <v>SET</v>
                </pt>
                <pt idx="7">
                  <v>OUT</v>
                </pt>
                <pt idx="8">
                  <v>NOV</v>
                </pt>
                <pt idx="9">
                  <v>DEZ</v>
                </pt>
                <pt idx="10">
                  <v>JAN</v>
                </pt>
                <pt idx="11">
                  <v>FEV</v>
                </pt>
                <pt idx="12">
                  <v>MAR</v>
                </pt>
                <pt idx="13">
                  <v>ABRIL</v>
                </pt>
                <pt idx="14">
                  <v>MAIO</v>
                </pt>
                <pt idx="15">
                  <v>JUNHO</v>
                </pt>
                <pt idx="16">
                  <v>JULHO</v>
                </pt>
                <pt idx="17">
                  <v>AGOSTO</v>
                </pt>
                <pt idx="18">
                  <v>SETEMBRO</v>
                </pt>
                <pt idx="19">
                  <v>OUTUBRO</v>
                </pt>
                <pt idx="20">
                  <v>NOVEMBRO</v>
                </pt>
              </strCache>
            </strRef>
          </cat>
          <val>
            <numRef>
              <f>GERAL!$D$5:$D$25</f>
              <numCache>
                <formatCode>General</formatCode>
                <ptCount val="21"/>
                <pt idx="4">
                  <formatCode>_("R$"* #,##0.00_);_("R$"* \(#,##0.00\);_("R$"* "-"??_);_(@_)</formatCode>
                  <v>1934</v>
                </pt>
                <pt idx="5">
                  <formatCode>_("R$"* #,##0.00_);_("R$"* \(#,##0.00\);_("R$"* "-"??_);_(@_)</formatCode>
                  <v>4255</v>
                </pt>
                <pt idx="6">
                  <formatCode>_("R$"* #,##0.00_);_("R$"* \(#,##0.00\);_("R$"* "-"??_);_(@_)</formatCode>
                  <v>7790</v>
                </pt>
                <pt idx="7">
                  <formatCode>_("R$"* #,##0.00_);_("R$"* \(#,##0.00\);_("R$"* "-"??_);_(@_)</formatCode>
                  <v>7800</v>
                </pt>
                <pt idx="8">
                  <formatCode>_("R$"* #,##0.00_);_("R$"* \(#,##0.00\);_("R$"* "-"??_);_(@_)</formatCode>
                  <v>8432</v>
                </pt>
                <pt idx="9">
                  <formatCode>_("R$"* #,##0.00_);_("R$"* \(#,##0.00\);_("R$"* "-"??_);_(@_)</formatCode>
                  <v>7700</v>
                </pt>
                <pt idx="10">
                  <formatCode>_("R$"* #,##0.00_);_("R$"* \(#,##0.00\);_("R$"* "-"??_);_(@_)</formatCode>
                  <v>6863</v>
                </pt>
                <pt idx="11">
                  <formatCode>_("R$"* #,##0.00_);_("R$"* \(#,##0.00\);_("R$"* "-"??_);_(@_)</formatCode>
                  <v>5239</v>
                </pt>
                <pt idx="12">
                  <formatCode>_("R$"* #,##0.00_);_("R$"* \(#,##0.00\);_("R$"* "-"??_);_(@_)</formatCode>
                  <v>980</v>
                </pt>
                <pt idx="13">
                  <formatCode>_("R$"* #,##0.00_);_("R$"* \(#,##0.00\);_("R$"* "-"??_);_(@_)</formatCode>
                  <v>3000</v>
                </pt>
                <pt idx="14">
                  <formatCode>_("R$"* #,##0.00_);_("R$"* \(#,##0.00\);_("R$"* "-"??_);_(@_)</formatCode>
                  <v>3600</v>
                </pt>
                <pt idx="15">
                  <formatCode>_("R$"* #,##0.00_);_("R$"* \(#,##0.00\);_("R$"* "-"??_);_(@_)</formatCode>
                  <v>1140</v>
                </pt>
                <pt idx="16">
                  <formatCode>_("R$"* #,##0.00_);_("R$"* \(#,##0.00\);_("R$"* "-"??_);_(@_)</formatCode>
                  <v>1170</v>
                </pt>
                <pt idx="17">
                  <formatCode>_("R$"* #,##0.00_);_("R$"* \(#,##0.00\);_("R$"* "-"??_);_(@_)</formatCode>
                  <v>2463</v>
                </pt>
                <pt idx="18">
                  <formatCode>_("R$"* #,##0.00_);_("R$"* \(#,##0.00\);_("R$"* "-"??_);_(@_)</formatCode>
                  <v>2700</v>
                </pt>
                <pt idx="19">
                  <formatCode>_("R$"* #,##0.00_);_("R$"* \(#,##0.00\);_("R$"* "-"??_);_(@_)</formatCode>
                  <v>2200</v>
                </pt>
                <pt idx="20">
                  <formatCode>_("R$"* #,##0.00_);_("R$"* \(#,##0.00\);_("R$"* "-"??_);_(@_)</formatCode>
                  <v>2800</v>
                </pt>
              </numCache>
            </numRef>
          </val>
          <smooth val="0"/>
        </ser>
        <dLbls>
          <dLblPos val="t"/>
          <showLegendKey val="0"/>
          <showVal val="1"/>
          <showCatName val="0"/>
          <showSerName val="0"/>
          <showPercent val="0"/>
          <showBubbleSize val="0"/>
        </dLbls>
        <smooth val="0"/>
        <axId val="1189109168"/>
        <axId val="1189105904"/>
      </lineChart>
      <catAx>
        <axId val="1189109168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1189105904"/>
        <crosses val="autoZero"/>
        <auto val="1"/>
        <lblAlgn val="ctr"/>
        <lblOffset val="100"/>
        <noMultiLvlLbl val="0"/>
      </catAx>
      <valAx>
        <axId val="1189105904"/>
        <scaling>
          <orientation val="minMax"/>
        </scaling>
        <delete val="1"/>
        <axPos val="l"/>
        <numFmt formatCode="_(&quot;R$&quot;* #,##0.00_);_(&quot;R$&quot;* \(#,##0.00\);_(&quot;R$&quot;* &quot;-&quot;??_);_(@_)" sourceLinked="1"/>
        <majorTickMark val="none"/>
        <minorTickMark val="none"/>
        <tickLblPos val="nextTo"/>
        <crossAx val="1189109168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.06952441317604494"/>
          <y val="0.338168233213908"/>
          <w val="0.2910787222558537"/>
          <h val="0.09666419123029839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legend>
    <plotVisOnly val="1"/>
    <dispBlanksAs val="gap"/>
  </chart>
  <spPr>
    <a:solidFill xmlns:a="http://schemas.openxmlformats.org/drawingml/2006/main">
      <a:schemeClr val="dk1">
        <a:lumMod val="75000"/>
        <a:lumOff val="25000"/>
      </a:schemeClr>
    </a:solidFill>
    <a:ln xmlns:a="http://schemas.openxmlformats.org/drawingml/2006/main"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pt-BR"/>
              <a:t>(ROI)</a:t>
            </a:r>
            <a:r>
              <a:rPr lang="pt-BR" baseline="0"/>
              <a:t> </a:t>
            </a:r>
            <a:r>
              <a:rPr lang="pt-BR"/>
              <a:t>RETORNO</a:t>
            </a:r>
            <a:r>
              <a:rPr lang="pt-BR" baseline="0"/>
              <a:t xml:space="preserve"> SOBRE INVESTIMENTO</a:t>
            </a:r>
            <a:endParaRPr lang="pt-BR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3584315997380941"/>
          <y val="0.1482403273773285"/>
          <w val="0.9300392156862745"/>
          <h val="0.7171215783971729"/>
        </manualLayout>
      </layout>
      <barChart>
        <barDir val="bar"/>
        <grouping val="clustered"/>
        <varyColors val="0"/>
        <ser>
          <idx val="0"/>
          <order val="0"/>
          <tx>
            <strRef>
              <f>GERAL!$AA$1</f>
              <strCache>
                <ptCount val="1"/>
                <pt idx="0">
                  <v>FATURADO</v>
                </pt>
              </strCache>
            </strRef>
          </tx>
          <spPr>
            <a:solidFill xmlns:a="http://schemas.openxmlformats.org/drawingml/2006/main">
              <a:srgbClr val="00CC00"/>
            </a:soli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2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Lit>
              <ptCount val="2"/>
              <pt idx="0">
                <v>2</v>
              </pt>
              <pt idx="1">
                <v>4</v>
              </pt>
            </strLit>
          </cat>
          <val>
            <numRef>
              <f>(GERAL!$AA$3,GERAL!$AA$5)</f>
              <numCache>
                <formatCode>_("R$"* #,##0.00_);_("R$"* \(#,##0.00\);_("R$"* "-"??_);_(@_)</formatCode>
                <ptCount val="2"/>
                <pt idx="0">
                  <v>65136</v>
                </pt>
                <pt idx="1">
                  <v>132667</v>
                </pt>
              </numCache>
            </numRef>
          </val>
        </ser>
        <ser>
          <idx val="1"/>
          <order val="1"/>
          <tx>
            <strRef>
              <f>GERAL!$AB$1</f>
              <strCache>
                <ptCount val="1"/>
                <pt idx="0">
                  <v>LIQUIDO</v>
                </pt>
              </strCache>
            </strRef>
          </tx>
          <spPr>
            <a:solidFill xmlns:a="http://schemas.openxmlformats.org/drawingml/2006/main">
              <a:srgbClr val="32C1FA"/>
            </a:soli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2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Lit>
              <ptCount val="2"/>
              <pt idx="0">
                <v>2</v>
              </pt>
              <pt idx="1">
                <v>4</v>
              </pt>
            </strLit>
          </cat>
          <val>
            <numRef>
              <f>(GERAL!$AB$3,GERAL!$AB$5)</f>
              <numCache>
                <formatCode>_("R$"* #,##0.00_);_("R$"* \(#,##0.00\);_("R$"* "-"??_);_(@_)</formatCode>
                <ptCount val="2"/>
                <pt idx="0">
                  <v>49294</v>
                </pt>
                <pt idx="1">
                  <v>101708</v>
                </pt>
              </numCache>
            </numRef>
          </val>
        </ser>
        <ser>
          <idx val="2"/>
          <order val="2"/>
          <tx>
            <strRef>
              <f>GERAL!$AD$1</f>
              <strCache>
                <ptCount val="1"/>
                <pt idx="0">
                  <v>INVESTIMENTO</v>
                </pt>
              </strCache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2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Lit>
              <ptCount val="2"/>
              <pt idx="0">
                <v>2</v>
              </pt>
              <pt idx="1">
                <v>4</v>
              </pt>
            </strLit>
          </cat>
          <val>
            <numRef>
              <f>(GERAL!$AD$3,GERAL!$AD$5)</f>
              <numCache>
                <formatCode>_("R$"* #,##0.00_);_("R$"* \(#,##0.00\);_("R$"* "-"??_);_(@_)</formatCode>
                <ptCount val="2"/>
                <pt idx="0">
                  <v>37911</v>
                </pt>
                <pt idx="1">
                  <v>32727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00"/>
        <axId val="1189106992"/>
        <axId val="1189107536"/>
      </barChart>
      <catAx>
        <axId val="1189106992"/>
        <scaling>
          <orientation val="minMax"/>
        </scaling>
        <delete val="1"/>
        <axPos val="l"/>
        <numFmt formatCode="General" sourceLinked="1"/>
        <majorTickMark val="none"/>
        <minorTickMark val="none"/>
        <tickLblPos val="nextTo"/>
        <crossAx val="1189107536"/>
        <crosses val="autoZero"/>
        <auto val="1"/>
        <lblAlgn val="ctr"/>
        <lblOffset val="100"/>
        <noMultiLvlLbl val="0"/>
      </catAx>
      <valAx>
        <axId val="11891075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1189106992"/>
        <crosses val="autoZero"/>
        <crossBetween val="between"/>
      </valAx>
    </plotArea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690066120053577"/>
          <y val="0.07007614514287408"/>
          <w val="0.687053467722083"/>
          <h val="0.7982250656167978"/>
        </manualLayout>
      </layout>
      <barChart>
        <barDir val="col"/>
        <grouping val="clustered"/>
        <varyColors val="0"/>
        <ser>
          <idx val="0"/>
          <order val="0"/>
          <tx>
            <strRef>
              <f>'2020'!$C$7</f>
              <strCache>
                <ptCount val="1"/>
                <pt idx="0">
                  <v>FATURADO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'2020'!$B$9:$B$18</f>
              <strCache>
                <ptCount val="10"/>
                <pt idx="0">
                  <v>MAR</v>
                </pt>
                <pt idx="1">
                  <v>ABR</v>
                </pt>
                <pt idx="2">
                  <v>MAI</v>
                </pt>
                <pt idx="3">
                  <v>JUN</v>
                </pt>
                <pt idx="4">
                  <v>JUL</v>
                </pt>
                <pt idx="5">
                  <v>AGO</v>
                </pt>
                <pt idx="6">
                  <v>SET</v>
                </pt>
                <pt idx="7">
                  <v>OUT</v>
                </pt>
                <pt idx="8">
                  <v>NOV</v>
                </pt>
                <pt idx="9">
                  <v>DEZ</v>
                </pt>
              </strCache>
            </strRef>
          </cat>
          <val>
            <numRef>
              <f>'2020'!$C$9:$C$18</f>
              <numCache>
                <formatCode>_("R$"* #,##0.00_);_("R$"* \(#,##0.00\);_("R$"* "-"??_);_(@_)</formatCode>
                <ptCount val="10"/>
                <pt idx="0">
                  <v>1603</v>
                </pt>
                <pt idx="1">
                  <v>313</v>
                </pt>
                <pt idx="2">
                  <v>1616</v>
                </pt>
                <pt idx="3">
                  <v>3040</v>
                </pt>
                <pt idx="4">
                  <v>5510</v>
                </pt>
                <pt idx="5">
                  <v>7655</v>
                </pt>
                <pt idx="6">
                  <v>9416</v>
                </pt>
                <pt idx="7">
                  <v>8850</v>
                </pt>
                <pt idx="8">
                  <v>13978</v>
                </pt>
                <pt idx="9">
                  <v>19727</v>
                </pt>
              </numCache>
            </numRef>
          </val>
        </ser>
        <ser>
          <idx val="1"/>
          <order val="1"/>
          <tx>
            <strRef>
              <f>'2020'!$D$7</f>
              <strCache>
                <ptCount val="1"/>
                <pt idx="0">
                  <v>LIQUIDO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'2020'!$B$9:$B$18</f>
              <strCache>
                <ptCount val="10"/>
                <pt idx="0">
                  <v>MAR</v>
                </pt>
                <pt idx="1">
                  <v>ABR</v>
                </pt>
                <pt idx="2">
                  <v>MAI</v>
                </pt>
                <pt idx="3">
                  <v>JUN</v>
                </pt>
                <pt idx="4">
                  <v>JUL</v>
                </pt>
                <pt idx="5">
                  <v>AGO</v>
                </pt>
                <pt idx="6">
                  <v>SET</v>
                </pt>
                <pt idx="7">
                  <v>OUT</v>
                </pt>
                <pt idx="8">
                  <v>NOV</v>
                </pt>
                <pt idx="9">
                  <v>DEZ</v>
                </pt>
              </strCache>
            </strRef>
          </cat>
          <val>
            <numRef>
              <f>'2020'!$D$9:$D$18</f>
              <numCache>
                <formatCode>_("R$"* #,##0.00_);_("R$"* \(#,##0.00\);_("R$"* "-"??_);_(@_)</formatCode>
                <ptCount val="10"/>
                <pt idx="0">
                  <v>848</v>
                </pt>
                <pt idx="1">
                  <v>313</v>
                </pt>
                <pt idx="2">
                  <v>1272</v>
                </pt>
                <pt idx="3">
                  <v>2696</v>
                </pt>
                <pt idx="4">
                  <v>2554</v>
                </pt>
                <pt idx="5">
                  <v>6041</v>
                </pt>
                <pt idx="6">
                  <v>7902</v>
                </pt>
                <pt idx="7">
                  <v>6706</v>
                </pt>
                <pt idx="8">
                  <v>13486</v>
                </pt>
                <pt idx="9">
                  <v>12605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189108624"/>
        <axId val="1189110256"/>
      </barChart>
      <catAx>
        <axId val="1189108624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189110256"/>
        <crosses val="autoZero"/>
        <auto val="1"/>
        <lblAlgn val="ctr"/>
        <lblOffset val="100"/>
        <noMultiLvlLbl val="0"/>
      </catAx>
      <valAx>
        <axId val="1189110256"/>
        <scaling>
          <orientation val="minMax"/>
        </scaling>
        <delete val="0"/>
        <axPos val="l"/>
        <majorGridlines/>
        <numFmt formatCode="_(&quot;R$&quot;* #,##0.00_);_(&quot;R$&quot;* \(#,##0.00\);_(&quot;R$&quot;* &quot;-&quot;??_);_(@_)" sourceLinked="1"/>
        <majorTickMark val="out"/>
        <minorTickMark val="none"/>
        <tickLblPos val="nextTo"/>
        <crossAx val="1189108624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pt-BR"/>
              <a:t>INVESTIMENTO EM ANUNCIO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'2020'!$C$23</f>
              <strCache>
                <ptCount val="1"/>
                <pt idx="0">
                  <v>ANUNCIO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'2020'!$B$24:$B$33</f>
              <strCache>
                <ptCount val="10"/>
                <pt idx="0">
                  <v>MAR</v>
                </pt>
                <pt idx="1">
                  <v>ABR</v>
                </pt>
                <pt idx="2">
                  <v>MAI</v>
                </pt>
                <pt idx="3">
                  <v>JUN</v>
                </pt>
                <pt idx="4">
                  <v>JUL</v>
                </pt>
                <pt idx="5">
                  <v>AGO</v>
                </pt>
                <pt idx="6">
                  <v>SET</v>
                </pt>
                <pt idx="7">
                  <v>OUT</v>
                </pt>
                <pt idx="8">
                  <v>NOV</v>
                </pt>
                <pt idx="9">
                  <v>DEZ</v>
                </pt>
              </strCache>
            </strRef>
          </cat>
          <val>
            <numRef>
              <f>'2020'!$C$24:$C$33</f>
              <numCache>
                <formatCode>_("R$"* #,##0.00_);_("R$"* \(#,##0.00\);_("R$"* "-"??_);_(@_)</formatCode>
                <ptCount val="10"/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1934</v>
                </pt>
                <pt idx="5">
                  <v>3387</v>
                </pt>
                <pt idx="6">
                  <v>7700</v>
                </pt>
                <pt idx="7">
                  <v>7700</v>
                </pt>
                <pt idx="8">
                  <v>7600</v>
                </pt>
                <pt idx="9">
                  <v>7600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189099920"/>
        <axId val="1189097744"/>
      </barChart>
      <catAx>
        <axId val="118909992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crossAx val="1189097744"/>
        <crosses val="autoZero"/>
        <auto val="1"/>
        <lblAlgn val="ctr"/>
        <lblOffset val="100"/>
        <noMultiLvlLbl val="0"/>
      </catAx>
      <valAx>
        <axId val="1189097744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r>
                  <a:t>None</a:t>
                </a:r>
              </a:p>
            </rich>
          </tx>
          <overlay val="0"/>
        </title>
        <numFmt formatCode="_(&quot;R$&quot;* #,##0.00_);_(&quot;R$&quot;* \(#,##0.00\);_(&quot;R$&quot;* &quot;-&quot;??_);_(@_)" sourceLinked="1"/>
        <majorTickMark val="none"/>
        <minorTickMark val="none"/>
        <tickLblPos val="nextTo"/>
        <crossAx val="118909992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'2020'!$U$3</f>
              <strCache>
                <ptCount val="1"/>
                <pt idx="0">
                  <v>PEDIDOS MÊS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'2020'!$T$4:$T$13</f>
              <strCache>
                <ptCount val="10"/>
                <pt idx="0">
                  <v>MAR</v>
                </pt>
                <pt idx="1">
                  <v>ABR</v>
                </pt>
                <pt idx="2">
                  <v>MAI</v>
                </pt>
                <pt idx="3">
                  <v>JUN</v>
                </pt>
                <pt idx="4">
                  <v>JUL</v>
                </pt>
                <pt idx="5">
                  <v>AGO</v>
                </pt>
                <pt idx="6">
                  <v>SET</v>
                </pt>
                <pt idx="7">
                  <v>OUT</v>
                </pt>
                <pt idx="8">
                  <v>NOV</v>
                </pt>
                <pt idx="9">
                  <v>DEZ</v>
                </pt>
              </strCache>
            </strRef>
          </cat>
          <val>
            <numRef>
              <f>'2020'!$U$4:$U$13</f>
              <numCache>
                <formatCode>General</formatCode>
                <ptCount val="10"/>
                <pt idx="0">
                  <v>10</v>
                </pt>
                <pt idx="1">
                  <v>3</v>
                </pt>
                <pt idx="2">
                  <v>10</v>
                </pt>
                <pt idx="3">
                  <v>16</v>
                </pt>
                <pt idx="4">
                  <v>22</v>
                </pt>
                <pt idx="5">
                  <v>32</v>
                </pt>
                <pt idx="6">
                  <v>40</v>
                </pt>
                <pt idx="7">
                  <v>46</v>
                </pt>
                <pt idx="8">
                  <v>40</v>
                </pt>
                <pt idx="9">
                  <v>64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189100464"/>
        <axId val="1441944896"/>
      </barChart>
      <catAx>
        <axId val="1189100464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41944896"/>
        <crosses val="autoZero"/>
        <auto val="1"/>
        <lblAlgn val="ctr"/>
        <lblOffset val="100"/>
        <noMultiLvlLbl val="0"/>
      </catAx>
      <valAx>
        <axId val="1441944896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1189100464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690066120053577"/>
          <y val="0.07007614514287408"/>
          <w val="0.687053467722083"/>
          <h val="0.7982250656167978"/>
        </manualLayout>
      </layout>
      <barChart>
        <barDir val="col"/>
        <grouping val="clustered"/>
        <varyColors val="0"/>
        <ser>
          <idx val="0"/>
          <order val="0"/>
          <tx>
            <strRef>
              <f>'2021'!$C$7:$C$8</f>
              <strCache>
                <ptCount val="2"/>
                <pt idx="0">
                  <v>FATURADO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dLbl>
              <idx val="4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1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'2021'!$B$9:$B$20</f>
              <strCache>
                <ptCount val="12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ABRIL</v>
                </pt>
                <pt idx="4">
                  <v>MAIO</v>
                </pt>
                <pt idx="5">
                  <v>JUNHO</v>
                </pt>
                <pt idx="6">
                  <v>JULHO</v>
                </pt>
                <pt idx="7">
                  <v>AGOSTO</v>
                </pt>
                <pt idx="8">
                  <v>SETEMBRO</v>
                </pt>
                <pt idx="9">
                  <v>OUTUBRO</v>
                </pt>
                <pt idx="10">
                  <v>NOVEMBRO</v>
                </pt>
                <pt idx="11">
                  <v>DEZEMBRO</v>
                </pt>
              </strCache>
            </strRef>
          </cat>
          <val>
            <numRef>
              <f>'2021'!$C$9:$C$20</f>
              <numCache>
                <formatCode>_("R$"* #,##0.00_);_("R$"* \(#,##0.00\);_("R$"* "-"??_);_(@_)</formatCode>
                <ptCount val="12"/>
                <pt idx="0">
                  <v>10279</v>
                </pt>
                <pt idx="1">
                  <v>19359</v>
                </pt>
                <pt idx="2">
                  <v>8804</v>
                </pt>
                <pt idx="3">
                  <v>13735</v>
                </pt>
                <pt idx="4">
                  <v>10110</v>
                </pt>
                <pt idx="5">
                  <v>15745</v>
                </pt>
                <pt idx="6">
                  <v>10899</v>
                </pt>
                <pt idx="7">
                  <v>10733</v>
                </pt>
                <pt idx="8">
                  <v>12578</v>
                </pt>
                <pt idx="9">
                  <v>10924</v>
                </pt>
                <pt idx="10">
                  <v>6965</v>
                </pt>
                <pt idx="11">
                  <v>2536</v>
                </pt>
              </numCache>
            </numRef>
          </val>
        </ser>
        <ser>
          <idx val="1"/>
          <order val="1"/>
          <tx>
            <strRef>
              <f>'2021'!$D$7:$D$8</f>
              <strCache>
                <ptCount val="2"/>
                <pt idx="0">
                  <v>LIQUIDO</v>
                </pt>
              </strCache>
            </strRef>
          </tx>
          <spPr>
            <a:solidFill xmlns:a="http://schemas.openxmlformats.org/drawingml/2006/main">
              <a:srgbClr val="00FF00"/>
            </a:soli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dLbl>
              <idx val="2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'2021'!$B$9:$B$20</f>
              <strCache>
                <ptCount val="12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ABRIL</v>
                </pt>
                <pt idx="4">
                  <v>MAIO</v>
                </pt>
                <pt idx="5">
                  <v>JUNHO</v>
                </pt>
                <pt idx="6">
                  <v>JULHO</v>
                </pt>
                <pt idx="7">
                  <v>AGOSTO</v>
                </pt>
                <pt idx="8">
                  <v>SETEMBRO</v>
                </pt>
                <pt idx="9">
                  <v>OUTUBRO</v>
                </pt>
                <pt idx="10">
                  <v>NOVEMBRO</v>
                </pt>
                <pt idx="11">
                  <v>DEZEMBRO</v>
                </pt>
              </strCache>
            </strRef>
          </cat>
          <val>
            <numRef>
              <f>'2021'!$D$9:$D$20</f>
              <numCache>
                <formatCode>_("R$"* #,##0.00_);_("R$"* \(#,##0.00\);_("R$"* "-"??_);_(@_)</formatCode>
                <ptCount val="12"/>
                <pt idx="0">
                  <v>7556</v>
                </pt>
                <pt idx="1">
                  <v>13288</v>
                </pt>
                <pt idx="2">
                  <v>8473</v>
                </pt>
                <pt idx="3">
                  <v>10367</v>
                </pt>
                <pt idx="4">
                  <v>6251</v>
                </pt>
                <pt idx="5">
                  <v>13383</v>
                </pt>
                <pt idx="6">
                  <v>9176</v>
                </pt>
                <pt idx="7">
                  <v>8125</v>
                </pt>
                <pt idx="8">
                  <v>11379</v>
                </pt>
                <pt idx="9">
                  <v>5276</v>
                </pt>
                <pt idx="10">
                  <v>5898</v>
                </pt>
                <pt idx="11">
                  <v>2536</v>
                </pt>
              </numCache>
            </numRef>
          </val>
        </ser>
        <ser>
          <idx val="2"/>
          <order val="2"/>
          <tx>
            <strRef>
              <f>'2021'!$E$7:$E$8</f>
              <strCache>
                <ptCount val="2"/>
                <pt idx="0">
                  <v>ANUCIO</v>
                </pt>
              </strCache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'2021'!$B$9:$B$20</f>
              <strCache>
                <ptCount val="12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ABRIL</v>
                </pt>
                <pt idx="4">
                  <v>MAIO</v>
                </pt>
                <pt idx="5">
                  <v>JUNHO</v>
                </pt>
                <pt idx="6">
                  <v>JULHO</v>
                </pt>
                <pt idx="7">
                  <v>AGOSTO</v>
                </pt>
                <pt idx="8">
                  <v>SETEMBRO</v>
                </pt>
                <pt idx="9">
                  <v>OUTUBRO</v>
                </pt>
                <pt idx="10">
                  <v>NOVEMBRO</v>
                </pt>
                <pt idx="11">
                  <v>DEZEMBRO</v>
                </pt>
              </strCache>
            </strRef>
          </cat>
          <val>
            <numRef>
              <f>'2021'!$E$9:$E$20</f>
              <numCache>
                <formatCode>_("R$"* #,##0.00_);_("R$"* \(#,##0.00\);_("R$"* "-"??_);_(@_)</formatCode>
                <ptCount val="12"/>
                <pt idx="0">
                  <v>6800</v>
                </pt>
                <pt idx="1">
                  <v>5239</v>
                </pt>
                <pt idx="2">
                  <v>980</v>
                </pt>
                <pt idx="3">
                  <v>3000</v>
                </pt>
                <pt idx="4">
                  <v>3600</v>
                </pt>
                <pt idx="5">
                  <v>1140</v>
                </pt>
                <pt idx="6">
                  <v>1170</v>
                </pt>
                <pt idx="7">
                  <v>2173</v>
                </pt>
                <pt idx="8">
                  <v>2700</v>
                </pt>
                <pt idx="9">
                  <v>2200</v>
                </pt>
                <pt idx="10">
                  <v>2800</v>
                </pt>
                <pt idx="11">
                  <v>925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441936192"/>
        <axId val="1441938912"/>
      </barChart>
      <catAx>
        <axId val="1441936192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1441938912"/>
        <crosses val="autoZero"/>
        <auto val="1"/>
        <lblAlgn val="ctr"/>
        <lblOffset val="100"/>
        <noMultiLvlLbl val="0"/>
      </catAx>
      <valAx>
        <axId val="1441938912"/>
        <scaling>
          <orientation val="minMax"/>
        </scaling>
        <delete val="1"/>
        <axPos val="l"/>
        <numFmt formatCode="_(&quot;R$&quot;* #,##0.00_);_(&quot;R$&quot;* \(#,##0.00\);_(&quot;R$&quot;* &quot;-&quot;??_);_(@_)" sourceLinked="1"/>
        <majorTickMark val="none"/>
        <minorTickMark val="none"/>
        <tickLblPos val="nextTo"/>
        <crossAx val="144193619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'2021'!$X$6</f>
              <strCache>
                <ptCount val="1"/>
                <pt idx="0">
                  <v>PEDIDOS MÊS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'2021'!$W$7:$W$18</f>
              <strCache>
                <ptCount val="12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AGO</v>
                </pt>
                <pt idx="8">
                  <v>SET</v>
                </pt>
                <pt idx="9">
                  <v>OUT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'2021'!$X$7:$X$18</f>
              <numCache>
                <formatCode>General</formatCode>
                <ptCount val="12"/>
                <pt idx="0">
                  <v>38</v>
                </pt>
                <pt idx="1">
                  <v>37</v>
                </pt>
                <pt idx="2">
                  <v>18</v>
                </pt>
                <pt idx="3">
                  <v>38</v>
                </pt>
                <pt idx="4">
                  <v>29</v>
                </pt>
                <pt idx="5">
                  <v>47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441947072"/>
        <axId val="1441935104"/>
      </barChart>
      <catAx>
        <axId val="1441947072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41935104"/>
        <crosses val="autoZero"/>
        <auto val="1"/>
        <lblAlgn val="ctr"/>
        <lblOffset val="100"/>
        <noMultiLvlLbl val="0"/>
      </catAx>
      <valAx>
        <axId val="1441935104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1441947072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690066120053577"/>
          <y val="0.07007614514287408"/>
          <w val="0.687053467722083"/>
          <h val="0.7982250656167978"/>
        </manualLayout>
      </layout>
      <barChart>
        <barDir val="col"/>
        <grouping val="clustered"/>
        <varyColors val="0"/>
        <ser>
          <idx val="0"/>
          <order val="0"/>
          <tx>
            <strRef>
              <f>'2022'!$C$7</f>
              <strCache>
                <ptCount val="1"/>
                <pt idx="0">
                  <v>FATURADO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dLbl>
              <idx val="4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8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9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0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1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'2022'!$B$8:$B$20</f>
              <strCache>
                <ptCount val="13"/>
                <pt idx="1">
                  <v>JAN</v>
                </pt>
                <pt idx="2">
                  <v>FEV</v>
                </pt>
                <pt idx="3">
                  <v>MAR</v>
                </pt>
                <pt idx="4">
                  <v>ABRIL</v>
                </pt>
                <pt idx="5">
                  <v>MAIO</v>
                </pt>
                <pt idx="6">
                  <v>JUNHO</v>
                </pt>
                <pt idx="7">
                  <v>JULHO</v>
                </pt>
                <pt idx="8">
                  <v>AGOSTO</v>
                </pt>
                <pt idx="9">
                  <v>SETEMBRO</v>
                </pt>
                <pt idx="10">
                  <v>OUTUBRO</v>
                </pt>
                <pt idx="11">
                  <v>NOVEMBRO</v>
                </pt>
                <pt idx="12">
                  <v>DEZEMBRO</v>
                </pt>
              </strCache>
            </strRef>
          </cat>
          <val>
            <numRef>
              <f>'2022'!$C$8:$C$20</f>
              <numCache>
                <formatCode>_("R$"* #,##0.00_);_("R$"* \(#,##0.00\);_("R$"* "-"??_);_(@_)</formatCode>
                <ptCount val="13"/>
                <pt idx="1">
                  <v>2783</v>
                </pt>
                <pt idx="2">
                  <v>1109</v>
                </pt>
                <pt idx="3">
                  <v>1537</v>
                </pt>
                <pt idx="4">
                  <v>4793</v>
                </pt>
                <pt idx="5">
                  <v>3347</v>
                </pt>
                <pt idx="6">
                  <v>5579</v>
                </pt>
                <pt idx="7">
                  <v>5989</v>
                </pt>
                <pt idx="8">
                  <v>6415</v>
                </pt>
                <pt idx="9">
                  <v>5403</v>
                </pt>
                <pt idx="10">
                  <v>6290</v>
                </pt>
                <pt idx="11">
                  <v>6203</v>
                </pt>
                <pt idx="12">
                  <v>3963</v>
                </pt>
              </numCache>
            </numRef>
          </val>
        </ser>
        <ser>
          <idx val="1"/>
          <order val="1"/>
          <tx>
            <strRef>
              <f>'2022'!$D$7</f>
              <strCache>
                <ptCount val="1"/>
                <pt idx="0">
                  <v>LIQUIDO</v>
                </pt>
              </strCache>
            </strRef>
          </tx>
          <spPr>
            <a:solidFill xmlns:a="http://schemas.openxmlformats.org/drawingml/2006/main">
              <a:srgbClr val="00FF00"/>
            </a:soli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dLbl>
              <idx val="2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9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'2022'!$B$8:$B$20</f>
              <strCache>
                <ptCount val="13"/>
                <pt idx="1">
                  <v>JAN</v>
                </pt>
                <pt idx="2">
                  <v>FEV</v>
                </pt>
                <pt idx="3">
                  <v>MAR</v>
                </pt>
                <pt idx="4">
                  <v>ABRIL</v>
                </pt>
                <pt idx="5">
                  <v>MAIO</v>
                </pt>
                <pt idx="6">
                  <v>JUNHO</v>
                </pt>
                <pt idx="7">
                  <v>JULHO</v>
                </pt>
                <pt idx="8">
                  <v>AGOSTO</v>
                </pt>
                <pt idx="9">
                  <v>SETEMBRO</v>
                </pt>
                <pt idx="10">
                  <v>OUTUBRO</v>
                </pt>
                <pt idx="11">
                  <v>NOVEMBRO</v>
                </pt>
                <pt idx="12">
                  <v>DEZEMBRO</v>
                </pt>
              </strCache>
            </strRef>
          </cat>
          <val>
            <numRef>
              <f>'2022'!$D$8:$D$20</f>
              <numCache>
                <formatCode>_("R$"* #,##0.00_);_("R$"* \(#,##0.00\);_("R$"* "-"??_);_(@_)</formatCode>
                <ptCount val="13"/>
                <pt idx="1">
                  <v>2783</v>
                </pt>
                <pt idx="2">
                  <v>1109</v>
                </pt>
                <pt idx="3">
                  <v>1537</v>
                </pt>
                <pt idx="4">
                  <v>4793</v>
                </pt>
                <pt idx="5">
                  <v>3347</v>
                </pt>
                <pt idx="6">
                  <v>5579</v>
                </pt>
                <pt idx="7">
                  <v>5797</v>
                </pt>
                <pt idx="8">
                  <v>6415</v>
                </pt>
                <pt idx="9">
                  <v>5403</v>
                </pt>
                <pt idx="10">
                  <v>6290</v>
                </pt>
                <pt idx="11">
                  <v>6203</v>
                </pt>
                <pt idx="12">
                  <v>3963</v>
                </pt>
              </numCache>
            </numRef>
          </val>
        </ser>
        <ser>
          <idx val="2"/>
          <order val="2"/>
          <tx>
            <strRef>
              <f>'2022'!$E$7</f>
              <strCache>
                <ptCount val="1"/>
                <pt idx="0">
                  <v>ANUCIO</v>
                </pt>
              </strCache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dLbl>
              <idx val="8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'2022'!$B$8:$B$20</f>
              <strCache>
                <ptCount val="13"/>
                <pt idx="1">
                  <v>JAN</v>
                </pt>
                <pt idx="2">
                  <v>FEV</v>
                </pt>
                <pt idx="3">
                  <v>MAR</v>
                </pt>
                <pt idx="4">
                  <v>ABRIL</v>
                </pt>
                <pt idx="5">
                  <v>MAIO</v>
                </pt>
                <pt idx="6">
                  <v>JUNHO</v>
                </pt>
                <pt idx="7">
                  <v>JULHO</v>
                </pt>
                <pt idx="8">
                  <v>AGOSTO</v>
                </pt>
                <pt idx="9">
                  <v>SETEMBRO</v>
                </pt>
                <pt idx="10">
                  <v>OUTUBRO</v>
                </pt>
                <pt idx="11">
                  <v>NOVEMBRO</v>
                </pt>
                <pt idx="12">
                  <v>DEZEMBRO</v>
                </pt>
              </strCache>
            </strRef>
          </cat>
          <val>
            <numRef>
              <f>'2022'!$E$8:$E$20</f>
              <numCache>
                <formatCode>_("R$"* #,##0.00_);_("R$"* \(#,##0.00\);_("R$"* "-"??_);_(@_)</formatCode>
                <ptCount val="13"/>
                <pt idx="4">
                  <v>716</v>
                </pt>
                <pt idx="5">
                  <v>1420</v>
                </pt>
                <pt idx="6">
                  <v>990</v>
                </pt>
                <pt idx="7">
                  <v>990</v>
                </pt>
                <pt idx="8">
                  <v>1000</v>
                </pt>
                <pt idx="9">
                  <v>920</v>
                </pt>
                <pt idx="10">
                  <v>1240</v>
                </pt>
                <pt idx="11">
                  <v>1600</v>
                </pt>
                <pt idx="12">
                  <v>1130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441946528"/>
        <axId val="1441945440"/>
      </barChart>
      <catAx>
        <axId val="1441946528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1441945440"/>
        <crosses val="autoZero"/>
        <auto val="1"/>
        <lblAlgn val="ctr"/>
        <lblOffset val="100"/>
        <noMultiLvlLbl val="0"/>
      </catAx>
      <valAx>
        <axId val="1441945440"/>
        <scaling>
          <orientation val="minMax"/>
        </scaling>
        <delete val="1"/>
        <axPos val="l"/>
        <numFmt formatCode="General" sourceLinked="1"/>
        <majorTickMark val="none"/>
        <minorTickMark val="none"/>
        <tickLblPos val="nextTo"/>
        <crossAx val="144194652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'2022'!$X$6</f>
              <strCache>
                <ptCount val="1"/>
                <pt idx="0">
                  <v>PEDIDOS MÊS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'2022'!$W$7:$W$18</f>
              <strCache>
                <ptCount val="12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AGO</v>
                </pt>
                <pt idx="8">
                  <v>SET</v>
                </pt>
                <pt idx="9">
                  <v>OUT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'2022'!$X$7:$X$18</f>
              <numCache>
                <formatCode>General</formatCode>
                <ptCount val="12"/>
                <pt idx="0">
                  <v>10</v>
                </pt>
                <pt idx="1">
                  <v>7</v>
                </pt>
                <pt idx="2">
                  <v>5</v>
                </pt>
                <pt idx="3">
                  <v>8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441939456"/>
        <axId val="1441935648"/>
      </barChart>
      <catAx>
        <axId val="1441939456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441935648"/>
        <crosses val="autoZero"/>
        <auto val="1"/>
        <lblAlgn val="ctr"/>
        <lblOffset val="100"/>
        <noMultiLvlLbl val="0"/>
      </catAx>
      <valAx>
        <axId val="1441935648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1441939456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5114288466901156"/>
          <y val="0.07007614514287408"/>
          <w val="0.9017338383751337"/>
          <h val="0.7982250656167978"/>
        </manualLayout>
      </layout>
      <barChart>
        <barDir val="col"/>
        <grouping val="clustered"/>
        <varyColors val="0"/>
        <ser>
          <idx val="0"/>
          <order val="0"/>
          <tx>
            <strRef>
              <f>'2023'!$C$7</f>
              <strCache>
                <ptCount val="1"/>
                <pt idx="0">
                  <v>FATURADO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dLbl>
              <idx val="4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8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1100" b="0" i="0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pt-BR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9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0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1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'2023'!$B$8:$B$20</f>
              <strCache>
                <ptCount val="13"/>
                <pt idx="1">
                  <v>JAN</v>
                </pt>
                <pt idx="2">
                  <v>FEV</v>
                </pt>
                <pt idx="3">
                  <v>MAR</v>
                </pt>
                <pt idx="4">
                  <v>ABRIL</v>
                </pt>
                <pt idx="5">
                  <v>MAIO</v>
                </pt>
                <pt idx="6">
                  <v>JUNHO</v>
                </pt>
                <pt idx="7">
                  <v>JULHO</v>
                </pt>
                <pt idx="8">
                  <v>AGOSTO</v>
                </pt>
                <pt idx="9">
                  <v>SETEMBRO</v>
                </pt>
                <pt idx="10">
                  <v>OUTUBRO</v>
                </pt>
                <pt idx="11">
                  <v>NOVEMBRO</v>
                </pt>
                <pt idx="12">
                  <v>DEZEMBRO</v>
                </pt>
              </strCache>
            </strRef>
          </cat>
          <val>
            <numRef>
              <f>'2023'!$C$8:$C$20</f>
              <numCache>
                <formatCode>_("R$"* #,##0.00_);_("R$"* \(#,##0.00\);_("R$"* "-"??_);_(@_)</formatCode>
                <ptCount val="13"/>
                <pt idx="1">
                  <v>3443</v>
                </pt>
                <pt idx="2">
                  <v>0</v>
                </pt>
                <pt idx="3">
                  <v>2800</v>
                </pt>
                <pt idx="4">
                  <v>8443</v>
                </pt>
                <pt idx="5">
                  <v>9073</v>
                </pt>
                <pt idx="6">
                  <v>8097</v>
                </pt>
                <pt idx="7">
                  <v>6434</v>
                </pt>
                <pt idx="8">
                  <v>14857</v>
                </pt>
                <pt idx="9">
                  <v>7655</v>
                </pt>
                <pt idx="10">
                  <v>5333</v>
                </pt>
                <pt idx="11">
                  <v>10077</v>
                </pt>
                <pt idx="12">
                  <v>9413</v>
                </pt>
              </numCache>
            </numRef>
          </val>
        </ser>
        <ser>
          <idx val="1"/>
          <order val="1"/>
          <tx>
            <strRef>
              <f>'2023'!$D$7</f>
              <strCache>
                <ptCount val="1"/>
                <pt idx="0">
                  <v>LIQUIDO</v>
                </pt>
              </strCache>
            </strRef>
          </tx>
          <spPr>
            <a:solidFill xmlns:a="http://schemas.openxmlformats.org/drawingml/2006/main">
              <a:srgbClr val="00FF00"/>
            </a:soli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dLbl>
              <idx val="2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8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0" i="0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pt-BR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9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'2023'!$B$8:$B$20</f>
              <strCache>
                <ptCount val="13"/>
                <pt idx="1">
                  <v>JAN</v>
                </pt>
                <pt idx="2">
                  <v>FEV</v>
                </pt>
                <pt idx="3">
                  <v>MAR</v>
                </pt>
                <pt idx="4">
                  <v>ABRIL</v>
                </pt>
                <pt idx="5">
                  <v>MAIO</v>
                </pt>
                <pt idx="6">
                  <v>JUNHO</v>
                </pt>
                <pt idx="7">
                  <v>JULHO</v>
                </pt>
                <pt idx="8">
                  <v>AGOSTO</v>
                </pt>
                <pt idx="9">
                  <v>SETEMBRO</v>
                </pt>
                <pt idx="10">
                  <v>OUTUBRO</v>
                </pt>
                <pt idx="11">
                  <v>NOVEMBRO</v>
                </pt>
                <pt idx="12">
                  <v>DEZEMBRO</v>
                </pt>
              </strCache>
            </strRef>
          </cat>
          <val>
            <numRef>
              <f>'2023'!$D$8:$D$20</f>
              <numCache>
                <formatCode>_("R$"* #,##0.00_);_("R$"* \(#,##0.00\);_("R$"* "-"??_);_(@_)</formatCode>
                <ptCount val="13"/>
                <pt idx="1">
                  <v>1943</v>
                </pt>
                <pt idx="2">
                  <v>0</v>
                </pt>
                <pt idx="3">
                  <v>1900</v>
                </pt>
                <pt idx="4">
                  <v>7034</v>
                </pt>
                <pt idx="5">
                  <v>7091</v>
                </pt>
                <pt idx="6">
                  <v>4622</v>
                </pt>
                <pt idx="7">
                  <v>5884</v>
                </pt>
                <pt idx="8">
                  <v>11001</v>
                </pt>
                <pt idx="9">
                  <v>7655</v>
                </pt>
                <pt idx="10">
                  <v>5333</v>
                </pt>
                <pt idx="11">
                  <v>10077</v>
                </pt>
                <pt idx="12">
                  <v>9047</v>
                </pt>
              </numCache>
            </numRef>
          </val>
        </ser>
        <ser>
          <idx val="2"/>
          <order val="2"/>
          <tx>
            <strRef>
              <f>'2023'!$E$7</f>
              <strCache>
                <ptCount val="1"/>
                <pt idx="0">
                  <v>ANUCIO</v>
                </pt>
              </strCache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dLbl>
              <idx val="8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'2023'!$B$8:$B$20</f>
              <strCache>
                <ptCount val="13"/>
                <pt idx="1">
                  <v>JAN</v>
                </pt>
                <pt idx="2">
                  <v>FEV</v>
                </pt>
                <pt idx="3">
                  <v>MAR</v>
                </pt>
                <pt idx="4">
                  <v>ABRIL</v>
                </pt>
                <pt idx="5">
                  <v>MAIO</v>
                </pt>
                <pt idx="6">
                  <v>JUNHO</v>
                </pt>
                <pt idx="7">
                  <v>JULHO</v>
                </pt>
                <pt idx="8">
                  <v>AGOSTO</v>
                </pt>
                <pt idx="9">
                  <v>SETEMBRO</v>
                </pt>
                <pt idx="10">
                  <v>OUTUBRO</v>
                </pt>
                <pt idx="11">
                  <v>NOVEMBRO</v>
                </pt>
                <pt idx="12">
                  <v>DEZEMBRO</v>
                </pt>
              </strCache>
            </strRef>
          </cat>
          <val>
            <numRef>
              <f>'2023'!$E$8:$E$20</f>
              <numCache>
                <formatCode>_("R$"* #,##0.00_);_("R$"* \(#,##0.00\);_("R$"* "-"??_);_(@_)</formatCode>
                <ptCount val="13"/>
                <pt idx="1">
                  <v>730</v>
                </pt>
                <pt idx="2">
                  <v>0</v>
                </pt>
                <pt idx="3">
                  <v>360</v>
                </pt>
                <pt idx="4">
                  <v>509</v>
                </pt>
                <pt idx="5">
                  <v>947</v>
                </pt>
                <pt idx="6">
                  <v>1836</v>
                </pt>
                <pt idx="7">
                  <v>1080</v>
                </pt>
                <pt idx="8">
                  <v>1200</v>
                </pt>
                <pt idx="9">
                  <v>1170</v>
                </pt>
                <pt idx="10">
                  <v>1523</v>
                </pt>
                <pt idx="11">
                  <v>1395</v>
                </pt>
                <pt idx="12">
                  <v>1100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189103184"/>
        <axId val="1189095568"/>
      </barChart>
      <catAx>
        <axId val="118910318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1189095568"/>
        <crosses val="autoZero"/>
        <auto val="1"/>
        <lblAlgn val="ctr"/>
        <lblOffset val="100"/>
        <noMultiLvlLbl val="0"/>
      </catAx>
      <valAx>
        <axId val="1189095568"/>
        <scaling>
          <orientation val="minMax"/>
        </scaling>
        <delete val="1"/>
        <axPos val="l"/>
        <numFmt formatCode="General" sourceLinked="1"/>
        <majorTickMark val="none"/>
        <minorTickMark val="none"/>
        <tickLblPos val="nextTo"/>
        <crossAx val="11891031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'2022'!$X$6</f>
              <strCache>
                <ptCount val="1"/>
                <pt idx="0">
                  <v>PEDIDOS MÊS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'2022'!$W$7:$W$18</f>
              <strCache>
                <ptCount val="12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AGO</v>
                </pt>
                <pt idx="8">
                  <v>SET</v>
                </pt>
                <pt idx="9">
                  <v>OUT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'2022'!$X$7:$X$18</f>
              <numCache>
                <formatCode>General</formatCode>
                <ptCount val="12"/>
                <pt idx="0">
                  <v>10</v>
                </pt>
                <pt idx="1">
                  <v>7</v>
                </pt>
                <pt idx="2">
                  <v>5</v>
                </pt>
                <pt idx="3">
                  <v>8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189105360"/>
        <axId val="1189104272"/>
      </barChart>
      <catAx>
        <axId val="1189105360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189104272"/>
        <crosses val="autoZero"/>
        <auto val="1"/>
        <lblAlgn val="ctr"/>
        <lblOffset val="100"/>
        <noMultiLvlLbl val="0"/>
      </catAx>
      <valAx>
        <axId val="1189104272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118910536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5114288466901156"/>
          <y val="0.07007614514287408"/>
          <w val="0.9017338383751337"/>
          <h val="0.7982250656167978"/>
        </manualLayout>
      </layout>
      <barChart>
        <barDir val="col"/>
        <grouping val="clustered"/>
        <varyColors val="0"/>
        <ser>
          <idx val="0"/>
          <order val="0"/>
          <tx>
            <strRef>
              <f>'2024'!$B$7</f>
              <strCache>
                <ptCount val="1"/>
                <pt idx="0">
                  <v>FATURADO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dLbl>
              <idx val="3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8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1100" b="0" i="0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pt-BR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9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0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1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'2024'!$A$8:$A$20</f>
              <strCache>
                <ptCount val="13"/>
                <pt idx="1">
                  <v>JAN</v>
                </pt>
                <pt idx="2">
                  <v>FEV</v>
                </pt>
                <pt idx="3">
                  <v>MAR</v>
                </pt>
                <pt idx="4">
                  <v>ABRIL</v>
                </pt>
                <pt idx="5">
                  <v>MAIO</v>
                </pt>
                <pt idx="6">
                  <v>JUNHO</v>
                </pt>
                <pt idx="7">
                  <v>JULHO</v>
                </pt>
                <pt idx="8">
                  <v>AGOSTO</v>
                </pt>
                <pt idx="9">
                  <v>SETEMBRO</v>
                </pt>
                <pt idx="10">
                  <v>OUTUBRO</v>
                </pt>
                <pt idx="11">
                  <v>NOVEMBRO</v>
                </pt>
                <pt idx="12">
                  <v>DEZEMBRO</v>
                </pt>
              </strCache>
            </strRef>
          </cat>
          <val>
            <numRef>
              <f>'2024'!$B$8:$B$20</f>
              <numCache>
                <formatCode>_("R$"* #,##0.00_);_("R$"* \(#,##0.00\);_("R$"* "-"??_);_(@_)</formatCode>
                <ptCount val="13"/>
                <pt idx="1">
                  <v>4984</v>
                </pt>
                <pt idx="2">
                  <v>3530</v>
                </pt>
                <pt idx="3">
                  <v>7412</v>
                </pt>
                <pt idx="4">
                  <v>7740</v>
                </pt>
                <pt idx="5">
                  <v>10084</v>
                </pt>
                <pt idx="6">
                  <v>8433</v>
                </pt>
                <pt idx="7">
                  <v>10320</v>
                </pt>
                <pt idx="8">
                  <v>7273</v>
                </pt>
                <pt idx="9">
                  <v>9984</v>
                </pt>
                <pt idx="10">
                  <v>11558</v>
                </pt>
                <pt idx="11">
                  <v>14567</v>
                </pt>
                <pt idx="12">
                  <v>6941</v>
                </pt>
              </numCache>
            </numRef>
          </val>
        </ser>
        <ser>
          <idx val="1"/>
          <order val="1"/>
          <tx>
            <strRef>
              <f>'2024'!$C$7</f>
              <strCache>
                <ptCount val="1"/>
                <pt idx="0">
                  <v>LIQUIDO</v>
                </pt>
              </strCache>
            </strRef>
          </tx>
          <spPr>
            <a:solidFill xmlns:a="http://schemas.openxmlformats.org/drawingml/2006/main">
              <a:srgbClr val="00FF00"/>
            </a:soli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dLbl>
              <idx val="1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0" i="0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pt-BR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8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00" b="0" i="0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pt-BR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9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0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1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'2024'!$A$8:$A$20</f>
              <strCache>
                <ptCount val="13"/>
                <pt idx="1">
                  <v>JAN</v>
                </pt>
                <pt idx="2">
                  <v>FEV</v>
                </pt>
                <pt idx="3">
                  <v>MAR</v>
                </pt>
                <pt idx="4">
                  <v>ABRIL</v>
                </pt>
                <pt idx="5">
                  <v>MAIO</v>
                </pt>
                <pt idx="6">
                  <v>JUNHO</v>
                </pt>
                <pt idx="7">
                  <v>JULHO</v>
                </pt>
                <pt idx="8">
                  <v>AGOSTO</v>
                </pt>
                <pt idx="9">
                  <v>SETEMBRO</v>
                </pt>
                <pt idx="10">
                  <v>OUTUBRO</v>
                </pt>
                <pt idx="11">
                  <v>NOVEMBRO</v>
                </pt>
                <pt idx="12">
                  <v>DEZEMBRO</v>
                </pt>
              </strCache>
            </strRef>
          </cat>
          <val>
            <numRef>
              <f>'2024'!$C$8:$C$20</f>
              <numCache>
                <formatCode>_("R$"* #,##0.00_);_("R$"* \(#,##0.00\);_("R$"* "-"??_);_(@_)</formatCode>
                <ptCount val="13"/>
                <pt idx="1">
                  <v>4984</v>
                </pt>
                <pt idx="2">
                  <v>3530</v>
                </pt>
                <pt idx="3">
                  <v>7412</v>
                </pt>
                <pt idx="4">
                  <v>7740</v>
                </pt>
                <pt idx="5">
                  <v>10084</v>
                </pt>
                <pt idx="6">
                  <v>8433</v>
                </pt>
                <pt idx="7">
                  <v>10320</v>
                </pt>
                <pt idx="8">
                  <v>7273</v>
                </pt>
                <pt idx="9">
                  <v>9984</v>
                </pt>
                <pt idx="10">
                  <v>11558</v>
                </pt>
                <pt idx="11">
                  <v>14567</v>
                </pt>
                <pt idx="12">
                  <v>6941</v>
                </pt>
              </numCache>
            </numRef>
          </val>
        </ser>
        <ser>
          <idx val="2"/>
          <order val="2"/>
          <tx>
            <strRef>
              <f>'2024'!$D$7</f>
              <strCache>
                <ptCount val="1"/>
                <pt idx="0">
                  <v>ANUCIO</v>
                </pt>
              </strCache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dLbl>
              <idx val="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pt-BR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8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'2024'!$A$8:$A$20</f>
              <strCache>
                <ptCount val="13"/>
                <pt idx="1">
                  <v>JAN</v>
                </pt>
                <pt idx="2">
                  <v>FEV</v>
                </pt>
                <pt idx="3">
                  <v>MAR</v>
                </pt>
                <pt idx="4">
                  <v>ABRIL</v>
                </pt>
                <pt idx="5">
                  <v>MAIO</v>
                </pt>
                <pt idx="6">
                  <v>JUNHO</v>
                </pt>
                <pt idx="7">
                  <v>JULHO</v>
                </pt>
                <pt idx="8">
                  <v>AGOSTO</v>
                </pt>
                <pt idx="9">
                  <v>SETEMBRO</v>
                </pt>
                <pt idx="10">
                  <v>OUTUBRO</v>
                </pt>
                <pt idx="11">
                  <v>NOVEMBRO</v>
                </pt>
                <pt idx="12">
                  <v>DEZEMBRO</v>
                </pt>
              </strCache>
            </strRef>
          </cat>
          <val>
            <numRef>
              <f>'2024'!$D$8:$D$20</f>
              <numCache>
                <formatCode>_("R$"* #,##0.00_);_("R$"* \(#,##0.00\);_("R$"* "-"??_);_(@_)</formatCode>
                <ptCount val="13"/>
                <pt idx="1">
                  <v>963</v>
                </pt>
                <pt idx="2">
                  <v>1243</v>
                </pt>
                <pt idx="3">
                  <v>884</v>
                </pt>
                <pt idx="4">
                  <v>2106</v>
                </pt>
                <pt idx="5">
                  <v>1500</v>
                </pt>
                <pt idx="6">
                  <v>892</v>
                </pt>
                <pt idx="7">
                  <v>2019</v>
                </pt>
                <pt idx="8">
                  <v>1200</v>
                </pt>
                <pt idx="9">
                  <v>1283</v>
                </pt>
                <pt idx="10">
                  <v>2000</v>
                </pt>
                <pt idx="11">
                  <v>2080</v>
                </pt>
                <pt idx="12">
                  <v>1350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189103184"/>
        <axId val="1189095568"/>
      </barChart>
      <catAx>
        <axId val="118910318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1189095568"/>
        <crosses val="autoZero"/>
        <auto val="1"/>
        <lblAlgn val="ctr"/>
        <lblOffset val="100"/>
        <noMultiLvlLbl val="0"/>
      </catAx>
      <valAx>
        <axId val="1189095568"/>
        <scaling>
          <orientation val="minMax"/>
        </scaling>
        <delete val="1"/>
        <axPos val="l"/>
        <numFmt formatCode="General" sourceLinked="1"/>
        <majorTickMark val="none"/>
        <minorTickMark val="none"/>
        <tickLblPos val="nextTo"/>
        <crossAx val="11891031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'2022'!$X$6</f>
              <strCache>
                <ptCount val="1"/>
                <pt idx="0">
                  <v>PEDIDOS MÊS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'2022'!$W$7:$W$18</f>
              <strCache>
                <ptCount val="12"/>
                <pt idx="0">
                  <v>JAN</v>
                </pt>
                <pt idx="1">
                  <v>FEV</v>
                </pt>
                <pt idx="2">
                  <v>MAR</v>
                </pt>
                <pt idx="3">
                  <v>ABR</v>
                </pt>
                <pt idx="4">
                  <v>MAI</v>
                </pt>
                <pt idx="5">
                  <v>JUN</v>
                </pt>
                <pt idx="6">
                  <v>JUL</v>
                </pt>
                <pt idx="7">
                  <v>AGO</v>
                </pt>
                <pt idx="8">
                  <v>SET</v>
                </pt>
                <pt idx="9">
                  <v>OUT</v>
                </pt>
                <pt idx="10">
                  <v>NOV</v>
                </pt>
                <pt idx="11">
                  <v>DEZ</v>
                </pt>
              </strCache>
            </strRef>
          </cat>
          <val>
            <numRef>
              <f>'2022'!$X$7:$X$18</f>
              <numCache>
                <formatCode>General</formatCode>
                <ptCount val="12"/>
                <pt idx="0">
                  <v>10</v>
                </pt>
                <pt idx="1">
                  <v>7</v>
                </pt>
                <pt idx="2">
                  <v>5</v>
                </pt>
                <pt idx="3">
                  <v>8</v>
                </pt>
                <pt idx="4">
                  <v>15</v>
                </pt>
                <pt idx="5">
                  <v>18</v>
                </pt>
                <pt idx="6">
                  <v>21</v>
                </pt>
                <pt idx="7">
                  <v>22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189105360"/>
        <axId val="1189104272"/>
      </barChart>
      <catAx>
        <axId val="1189105360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crossAx val="1189104272"/>
        <crosses val="autoZero"/>
        <auto val="1"/>
        <lblAlgn val="ctr"/>
        <lblOffset val="100"/>
        <noMultiLvlLbl val="0"/>
      </catAx>
      <valAx>
        <axId val="1189104272"/>
        <scaling>
          <orientation val="minMax"/>
        </scaling>
        <delete val="0"/>
        <axPos val="l"/>
        <majorGridlines/>
        <numFmt formatCode="General" sourceLinked="1"/>
        <majorTickMark val="out"/>
        <minorTickMark val="none"/>
        <tickLblPos val="nextTo"/>
        <crossAx val="118910536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5114291390866978"/>
          <y val="0.0795407782757621"/>
          <w val="0.9017338383751337"/>
          <h val="0.7982250656167978"/>
        </manualLayout>
      </layout>
      <barChart>
        <barDir val="col"/>
        <grouping val="clustered"/>
        <varyColors val="0"/>
        <ser>
          <idx val="0"/>
          <order val="0"/>
          <tx>
            <strRef>
              <f>'2025'!$B$7</f>
              <strCache>
                <ptCount val="1"/>
                <pt idx="0">
                  <v>FATURADO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dLbl>
              <idx val="3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8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1300" b="0" i="0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pt-BR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9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0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3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'2025'!$A$8:$A$20</f>
              <strCache>
                <ptCount val="13"/>
                <pt idx="1">
                  <v>JAN</v>
                </pt>
                <pt idx="2">
                  <v>FEV</v>
                </pt>
                <pt idx="3">
                  <v>MAR</v>
                </pt>
                <pt idx="4">
                  <v>ABRIL</v>
                </pt>
                <pt idx="5">
                  <v>MAIO</v>
                </pt>
                <pt idx="6">
                  <v>JUNHO</v>
                </pt>
                <pt idx="7">
                  <v>JULHO</v>
                </pt>
                <pt idx="8">
                  <v>AGOSTO</v>
                </pt>
                <pt idx="9">
                  <v>SETEMBRO</v>
                </pt>
                <pt idx="10">
                  <v>OUTUBRO</v>
                </pt>
                <pt idx="11">
                  <v>NOVEMBRO</v>
                </pt>
                <pt idx="12">
                  <v>DEZEMBRO</v>
                </pt>
              </strCache>
            </strRef>
          </cat>
          <val>
            <numRef>
              <f>'2025'!$B$8:$B$20</f>
              <numCache>
                <formatCode>_("R$"* #,##0.00_);_("R$"* \(#,##0.00\);_("R$"* "-"??_);_(@_)</formatCode>
                <ptCount val="13"/>
                <pt idx="1">
                  <v>8265</v>
                </pt>
                <pt idx="2">
                  <v>2725</v>
                </pt>
                <pt idx="3">
                  <v>15291</v>
                </pt>
                <pt idx="4">
                  <v>6448</v>
                </pt>
                <pt idx="5">
                  <v>12218</v>
                </pt>
                <pt idx="6">
                  <v>6300</v>
                </pt>
                <pt idx="7">
                  <v>9678</v>
                </pt>
                <pt idx="8">
                  <v>8318</v>
                </pt>
                <pt idx="9">
                  <v>15617</v>
                </pt>
                <pt idx="10">
                  <v>16339</v>
                </pt>
                <pt idx="11">
                  <v>14868</v>
                </pt>
                <pt idx="12">
                  <v>6635</v>
                </pt>
              </numCache>
            </numRef>
          </val>
        </ser>
        <ser>
          <idx val="1"/>
          <order val="1"/>
          <tx>
            <strRef>
              <f>'2025'!$C$7</f>
              <strCache>
                <ptCount val="1"/>
                <pt idx="0">
                  <v>LIQUIDO</v>
                </pt>
              </strCache>
            </strRef>
          </tx>
          <spPr>
            <a:solidFill xmlns:a="http://schemas.openxmlformats.org/drawingml/2006/main">
              <a:srgbClr val="00FF00"/>
            </a:soli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dLbl>
              <idx val="1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1300" b="0" i="0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pt-BR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8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1300" b="0" i="0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pt-BR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9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0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1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2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3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'2025'!$A$8:$A$20</f>
              <strCache>
                <ptCount val="13"/>
                <pt idx="1">
                  <v>JAN</v>
                </pt>
                <pt idx="2">
                  <v>FEV</v>
                </pt>
                <pt idx="3">
                  <v>MAR</v>
                </pt>
                <pt idx="4">
                  <v>ABRIL</v>
                </pt>
                <pt idx="5">
                  <v>MAIO</v>
                </pt>
                <pt idx="6">
                  <v>JUNHO</v>
                </pt>
                <pt idx="7">
                  <v>JULHO</v>
                </pt>
                <pt idx="8">
                  <v>AGOSTO</v>
                </pt>
                <pt idx="9">
                  <v>SETEMBRO</v>
                </pt>
                <pt idx="10">
                  <v>OUTUBRO</v>
                </pt>
                <pt idx="11">
                  <v>NOVEMBRO</v>
                </pt>
                <pt idx="12">
                  <v>DEZEMBRO</v>
                </pt>
              </strCache>
            </strRef>
          </cat>
          <val>
            <numRef>
              <f>'2025'!$C$8:$C$20</f>
              <numCache>
                <formatCode>_("R$"* #,##0.00_);_("R$"* \(#,##0.00\);_("R$"* "-"??_);_(@_)</formatCode>
                <ptCount val="13"/>
                <pt idx="1">
                  <v>8265</v>
                </pt>
                <pt idx="2">
                  <v>2725</v>
                </pt>
                <pt idx="3">
                  <v>15291</v>
                </pt>
                <pt idx="4">
                  <v>6448</v>
                </pt>
                <pt idx="5">
                  <v>12218</v>
                </pt>
                <pt idx="6">
                  <v>6300</v>
                </pt>
                <pt idx="7">
                  <v>9678</v>
                </pt>
                <pt idx="8">
                  <v>8318</v>
                </pt>
                <pt idx="9">
                  <v>15617</v>
                </pt>
                <pt idx="10">
                  <v>16339</v>
                </pt>
                <pt idx="11">
                  <v>14868</v>
                </pt>
                <pt idx="12">
                  <v>6635</v>
                </pt>
              </numCache>
            </numRef>
          </val>
        </ser>
        <ser>
          <idx val="2"/>
          <order val="2"/>
          <tx>
            <strRef>
              <f>'2025'!$D$7</f>
              <strCache>
                <ptCount val="1"/>
                <pt idx="0">
                  <v>ANUCIO</v>
                </pt>
              </strCache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dLbl>
              <idx val="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pt-BR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8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'2025'!$A$8:$A$20</f>
              <strCache>
                <ptCount val="13"/>
                <pt idx="1">
                  <v>JAN</v>
                </pt>
                <pt idx="2">
                  <v>FEV</v>
                </pt>
                <pt idx="3">
                  <v>MAR</v>
                </pt>
                <pt idx="4">
                  <v>ABRIL</v>
                </pt>
                <pt idx="5">
                  <v>MAIO</v>
                </pt>
                <pt idx="6">
                  <v>JUNHO</v>
                </pt>
                <pt idx="7">
                  <v>JULHO</v>
                </pt>
                <pt idx="8">
                  <v>AGOSTO</v>
                </pt>
                <pt idx="9">
                  <v>SETEMBRO</v>
                </pt>
                <pt idx="10">
                  <v>OUTUBRO</v>
                </pt>
                <pt idx="11">
                  <v>NOVEMBRO</v>
                </pt>
                <pt idx="12">
                  <v>DEZEMBRO</v>
                </pt>
              </strCache>
            </strRef>
          </cat>
          <val>
            <numRef>
              <f>'2025'!$D$8:$D$20</f>
              <numCache>
                <formatCode>_("R$"* #,##0.00_);_("R$"* \(#,##0.00\);_("R$"* "-"??_);_(@_)</formatCode>
                <ptCount val="13"/>
                <pt idx="1">
                  <v>2504</v>
                </pt>
                <pt idx="2">
                  <v>160</v>
                </pt>
                <pt idx="3">
                  <v>885</v>
                </pt>
                <pt idx="4">
                  <v>1061</v>
                </pt>
                <pt idx="5">
                  <v>1340</v>
                </pt>
                <pt idx="6">
                  <v>1306</v>
                </pt>
                <pt idx="7">
                  <v>1307</v>
                </pt>
                <pt idx="8">
                  <v>2287</v>
                </pt>
                <pt idx="9">
                  <v>2812</v>
                </pt>
                <pt idx="10">
                  <v>3700</v>
                </pt>
                <pt idx="11">
                  <v>3600</v>
                </pt>
                <pt idx="12">
                  <v>2600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189103184"/>
        <axId val="1189095568"/>
      </barChart>
      <catAx>
        <axId val="118910318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1189095568"/>
        <crosses val="autoZero"/>
        <auto val="1"/>
        <lblAlgn val="ctr"/>
        <lblOffset val="100"/>
        <noMultiLvlLbl val="0"/>
      </catAx>
      <valAx>
        <axId val="1189095568"/>
        <scaling>
          <orientation val="minMax"/>
        </scaling>
        <delete val="1"/>
        <axPos val="l"/>
        <numFmt formatCode="General" sourceLinked="1"/>
        <majorTickMark val="none"/>
        <minorTickMark val="none"/>
        <tickLblPos val="nextTo"/>
        <crossAx val="11891031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2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pt-BR"/>
              <a:t>Vendas</a:t>
            </a:r>
            <a:r>
              <a:rPr lang="pt-BR" baseline="0"/>
              <a:t xml:space="preserve"> Site Anual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1991937247478821"/>
          <y val="0.1009299279633268"/>
          <w val="0.96869812896819"/>
          <h val="0.7890504256712509"/>
        </manualLayout>
      </layout>
      <barChart>
        <barDir val="col"/>
        <grouping val="clustered"/>
        <varyColors val="0"/>
        <ser>
          <idx val="0"/>
          <order val="0"/>
          <spPr>
            <a:gradFill xmlns:a="http://schemas.openxmlformats.org/drawingml/2006/main" rotWithShape="1">
              <a:gsLst>
                <a:gs pos="0">
                  <a:schemeClr val="accent1">
                    <a:tint val="42000"/>
                    <a:shade val="51000"/>
                    <a:satMod val="130000"/>
                  </a:schemeClr>
                </a:gs>
                <a:gs pos="80000">
                  <a:schemeClr val="accent1">
                    <a:tint val="42000"/>
                    <a:shade val="93000"/>
                    <a:satMod val="130000"/>
                  </a:schemeClr>
                </a:gs>
                <a:gs pos="100000">
                  <a:schemeClr val="accent1">
                    <a:tint val="42000"/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3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'2025'!$A$31:$A$41</f>
              <numCache>
                <formatCode>General</formatCode>
                <ptCount val="11"/>
                <pt idx="0">
                  <v>2020</v>
                </pt>
                <pt idx="2">
                  <v>2021</v>
                </pt>
                <pt idx="4">
                  <v>2022</v>
                </pt>
                <pt idx="6">
                  <v>2023</v>
                </pt>
                <pt idx="8">
                  <v>2024</v>
                </pt>
                <pt idx="10">
                  <v>2025</v>
                </pt>
              </numCache>
            </numRef>
          </cat>
          <val>
            <numRef>
              <f>'2025'!$C$31</f>
              <numCache>
                <formatCode>_("R$"* #,##0.00_);_("R$"* \(#,##0.00\);_("R$"* "-"??_);_(@_)</formatCode>
                <ptCount val="1"/>
                <pt idx="0">
                  <v>49294</v>
                </pt>
              </numCache>
            </numRef>
          </val>
        </ser>
        <ser>
          <idx val="1"/>
          <order val="1"/>
          <spPr>
            <a:gradFill xmlns:a="http://schemas.openxmlformats.org/drawingml/2006/main" rotWithShape="1">
              <a:gsLst>
                <a:gs pos="0">
                  <a:schemeClr val="accent1">
                    <a:tint val="54000"/>
                    <a:shade val="51000"/>
                    <a:satMod val="130000"/>
                  </a:schemeClr>
                </a:gs>
                <a:gs pos="80000">
                  <a:schemeClr val="accent1">
                    <a:tint val="54000"/>
                    <a:shade val="93000"/>
                    <a:satMod val="130000"/>
                  </a:schemeClr>
                </a:gs>
                <a:gs pos="100000">
                  <a:schemeClr val="accent1">
                    <a:tint val="54000"/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'2025'!$A$31:$A$41</f>
              <numCache>
                <formatCode>General</formatCode>
                <ptCount val="11"/>
                <pt idx="0">
                  <v>2020</v>
                </pt>
                <pt idx="2">
                  <v>2021</v>
                </pt>
                <pt idx="4">
                  <v>2022</v>
                </pt>
                <pt idx="6">
                  <v>2023</v>
                </pt>
                <pt idx="8">
                  <v>2024</v>
                </pt>
                <pt idx="10">
                  <v>2025</v>
                </pt>
              </numCache>
            </numRef>
          </cat>
          <val>
            <numRef>
              <f>'2025'!$C$32</f>
              <numCache>
                <formatCode>General</formatCode>
                <ptCount val="1"/>
              </numCache>
            </numRef>
          </val>
        </ser>
        <ser>
          <idx val="2"/>
          <order val="2"/>
          <spPr>
            <a:gradFill xmlns:a="http://schemas.openxmlformats.org/drawingml/2006/main" rotWithShape="1">
              <a:gsLst>
                <a:gs pos="0">
                  <a:schemeClr val="accent1">
                    <a:tint val="65000"/>
                    <a:shade val="51000"/>
                    <a:satMod val="130000"/>
                  </a:schemeClr>
                </a:gs>
                <a:gs pos="80000">
                  <a:schemeClr val="accent1">
                    <a:tint val="65000"/>
                    <a:shade val="93000"/>
                    <a:satMod val="130000"/>
                  </a:schemeClr>
                </a:gs>
                <a:gs pos="100000">
                  <a:schemeClr val="accent1">
                    <a:tint val="65000"/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3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'2025'!$A$31:$A$41</f>
              <numCache>
                <formatCode>General</formatCode>
                <ptCount val="11"/>
                <pt idx="0">
                  <v>2020</v>
                </pt>
                <pt idx="2">
                  <v>2021</v>
                </pt>
                <pt idx="4">
                  <v>2022</v>
                </pt>
                <pt idx="6">
                  <v>2023</v>
                </pt>
                <pt idx="8">
                  <v>2024</v>
                </pt>
                <pt idx="10">
                  <v>2025</v>
                </pt>
              </numCache>
            </numRef>
          </cat>
          <val>
            <numRef>
              <f>'2025'!$C$33</f>
              <numCache>
                <formatCode>_("R$"* #,##0.00_);_("R$"* \(#,##0.00\);_("R$"* "-"??_);_(@_)</formatCode>
                <ptCount val="1"/>
                <pt idx="0">
                  <v>101790</v>
                </pt>
              </numCache>
            </numRef>
          </val>
        </ser>
        <ser>
          <idx val="3"/>
          <order val="3"/>
          <spPr>
            <a:gradFill xmlns:a="http://schemas.openxmlformats.org/drawingml/2006/main" rotWithShape="1">
              <a:gsLst>
                <a:gs pos="0">
                  <a:schemeClr val="accent1">
                    <a:tint val="77000"/>
                    <a:shade val="51000"/>
                    <a:satMod val="130000"/>
                  </a:schemeClr>
                </a:gs>
                <a:gs pos="80000">
                  <a:schemeClr val="accent1">
                    <a:tint val="77000"/>
                    <a:shade val="93000"/>
                    <a:satMod val="130000"/>
                  </a:schemeClr>
                </a:gs>
                <a:gs pos="100000">
                  <a:schemeClr val="accent1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'2025'!$A$31:$A$41</f>
              <numCache>
                <formatCode>General</formatCode>
                <ptCount val="11"/>
                <pt idx="0">
                  <v>2020</v>
                </pt>
                <pt idx="2">
                  <v>2021</v>
                </pt>
                <pt idx="4">
                  <v>2022</v>
                </pt>
                <pt idx="6">
                  <v>2023</v>
                </pt>
                <pt idx="8">
                  <v>2024</v>
                </pt>
                <pt idx="10">
                  <v>2025</v>
                </pt>
              </numCache>
            </numRef>
          </cat>
          <val>
            <numRef>
              <f>'2025'!$C$34</f>
              <numCache>
                <formatCode>General</formatCode>
                <ptCount val="1"/>
              </numCache>
            </numRef>
          </val>
        </ser>
        <ser>
          <idx val="4"/>
          <order val="4"/>
          <spPr>
            <a:gradFill xmlns:a="http://schemas.openxmlformats.org/drawingml/2006/main" rotWithShape="1">
              <a:gsLst>
                <a:gs pos="0">
                  <a:schemeClr val="accent1">
                    <a:tint val="89000"/>
                    <a:shade val="51000"/>
                    <a:satMod val="130000"/>
                  </a:schemeClr>
                </a:gs>
                <a:gs pos="80000">
                  <a:schemeClr val="accent1">
                    <a:tint val="89000"/>
                    <a:shade val="93000"/>
                    <a:satMod val="130000"/>
                  </a:schemeClr>
                </a:gs>
                <a:gs pos="100000">
                  <a:schemeClr val="accent1">
                    <a:tint val="89000"/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3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'2025'!$A$31:$A$41</f>
              <numCache>
                <formatCode>General</formatCode>
                <ptCount val="11"/>
                <pt idx="0">
                  <v>2020</v>
                </pt>
                <pt idx="2">
                  <v>2021</v>
                </pt>
                <pt idx="4">
                  <v>2022</v>
                </pt>
                <pt idx="6">
                  <v>2023</v>
                </pt>
                <pt idx="8">
                  <v>2024</v>
                </pt>
                <pt idx="10">
                  <v>2025</v>
                </pt>
              </numCache>
            </numRef>
          </cat>
          <val>
            <numRef>
              <f>'2025'!$C$35</f>
              <numCache>
                <formatCode>_("R$"* #,##0.00_);_("R$"* \(#,##0.00\);_("R$"* "-"??_);_(@_)</formatCode>
                <ptCount val="1"/>
                <pt idx="0">
                  <v>53219</v>
                </pt>
              </numCache>
            </numRef>
          </val>
        </ser>
        <ser>
          <idx val="5"/>
          <order val="5"/>
          <spPr>
            <a:gradFill xmlns:a="http://schemas.openxmlformats.org/drawingml/2006/main"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'2025'!$A$31:$A$41</f>
              <numCache>
                <formatCode>General</formatCode>
                <ptCount val="11"/>
                <pt idx="0">
                  <v>2020</v>
                </pt>
                <pt idx="2">
                  <v>2021</v>
                </pt>
                <pt idx="4">
                  <v>2022</v>
                </pt>
                <pt idx="6">
                  <v>2023</v>
                </pt>
                <pt idx="8">
                  <v>2024</v>
                </pt>
                <pt idx="10">
                  <v>2025</v>
                </pt>
              </numCache>
            </numRef>
          </cat>
          <val>
            <numRef>
              <f>'2025'!$C$36</f>
              <numCache>
                <formatCode>General</formatCode>
                <ptCount val="1"/>
              </numCache>
            </numRef>
          </val>
        </ser>
        <ser>
          <idx val="6"/>
          <order val="6"/>
          <spPr>
            <a:gradFill xmlns:a="http://schemas.openxmlformats.org/drawingml/2006/main"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3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'2025'!$A$31:$A$41</f>
              <numCache>
                <formatCode>General</formatCode>
                <ptCount val="11"/>
                <pt idx="0">
                  <v>2020</v>
                </pt>
                <pt idx="2">
                  <v>2021</v>
                </pt>
                <pt idx="4">
                  <v>2022</v>
                </pt>
                <pt idx="6">
                  <v>2023</v>
                </pt>
                <pt idx="8">
                  <v>2024</v>
                </pt>
                <pt idx="10">
                  <v>2025</v>
                </pt>
              </numCache>
            </numRef>
          </cat>
          <val>
            <numRef>
              <f>'2025'!$C$37</f>
              <numCache>
                <formatCode>_("R$"* #,##0.00_);_("R$"* \(#,##0.00\);_("R$"* "-"??_);_(@_)</formatCode>
                <ptCount val="1"/>
                <pt idx="0">
                  <v>71587</v>
                </pt>
              </numCache>
            </numRef>
          </val>
        </ser>
        <ser>
          <idx val="7"/>
          <order val="7"/>
          <spPr>
            <a:gradFill xmlns:a="http://schemas.openxmlformats.org/drawingml/2006/main"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'2025'!$A$31:$A$41</f>
              <numCache>
                <formatCode>General</formatCode>
                <ptCount val="11"/>
                <pt idx="0">
                  <v>2020</v>
                </pt>
                <pt idx="2">
                  <v>2021</v>
                </pt>
                <pt idx="4">
                  <v>2022</v>
                </pt>
                <pt idx="6">
                  <v>2023</v>
                </pt>
                <pt idx="8">
                  <v>2024</v>
                </pt>
                <pt idx="10">
                  <v>2025</v>
                </pt>
              </numCache>
            </numRef>
          </cat>
          <val>
            <numRef>
              <f>'2025'!$C$38</f>
              <numCache>
                <formatCode>General</formatCode>
                <ptCount val="1"/>
              </numCache>
            </numRef>
          </val>
        </ser>
        <ser>
          <idx val="8"/>
          <order val="8"/>
          <spPr>
            <a:gradFill xmlns:a="http://schemas.openxmlformats.org/drawingml/2006/main"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3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'2025'!$A$31:$A$41</f>
              <numCache>
                <formatCode>General</formatCode>
                <ptCount val="11"/>
                <pt idx="0">
                  <v>2020</v>
                </pt>
                <pt idx="2">
                  <v>2021</v>
                </pt>
                <pt idx="4">
                  <v>2022</v>
                </pt>
                <pt idx="6">
                  <v>2023</v>
                </pt>
                <pt idx="8">
                  <v>2024</v>
                </pt>
                <pt idx="10">
                  <v>2025</v>
                </pt>
              </numCache>
            </numRef>
          </cat>
          <val>
            <numRef>
              <f>'2025'!$C$39</f>
              <numCache>
                <formatCode>_("R$"* #,##0.00_);_("R$"* \(#,##0.00\);_("R$"* "-"??_);_(@_)</formatCode>
                <ptCount val="1"/>
                <pt idx="0">
                  <v>102826</v>
                </pt>
              </numCache>
            </numRef>
          </val>
        </ser>
        <ser>
          <idx val="9"/>
          <order val="9"/>
          <spPr>
            <a:gradFill xmlns:a="http://schemas.openxmlformats.org/drawingml/2006/main"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'2025'!$A$31:$A$41</f>
              <numCache>
                <formatCode>General</formatCode>
                <ptCount val="11"/>
                <pt idx="0">
                  <v>2020</v>
                </pt>
                <pt idx="2">
                  <v>2021</v>
                </pt>
                <pt idx="4">
                  <v>2022</v>
                </pt>
                <pt idx="6">
                  <v>2023</v>
                </pt>
                <pt idx="8">
                  <v>2024</v>
                </pt>
                <pt idx="10">
                  <v>2025</v>
                </pt>
              </numCache>
            </numRef>
          </cat>
          <val>
            <numRef>
              <f>'2025'!$C$40</f>
              <numCache>
                <formatCode>General</formatCode>
                <ptCount val="1"/>
              </numCache>
            </numRef>
          </val>
        </ser>
        <ser>
          <idx val="10"/>
          <order val="10"/>
          <spPr>
            <a:gradFill xmlns:a="http://schemas.openxmlformats.org/drawingml/2006/main"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3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'2025'!$A$31:$A$41</f>
              <numCache>
                <formatCode>General</formatCode>
                <ptCount val="11"/>
                <pt idx="0">
                  <v>2020</v>
                </pt>
                <pt idx="2">
                  <v>2021</v>
                </pt>
                <pt idx="4">
                  <v>2022</v>
                </pt>
                <pt idx="6">
                  <v>2023</v>
                </pt>
                <pt idx="8">
                  <v>2024</v>
                </pt>
                <pt idx="10">
                  <v>2025</v>
                </pt>
              </numCache>
            </numRef>
          </cat>
          <val>
            <numRef>
              <f>'2025'!$C$41</f>
              <numCache>
                <formatCode>_("R$"* #,##0.00_);_("R$"* \(#,##0.00\);_("R$"* "-"??_);_(@_)</formatCode>
                <ptCount val="1"/>
                <pt idx="0">
                  <v>122702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856346480"/>
        <axId val="1856355120"/>
      </barChart>
      <catAx>
        <axId val="1856346480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856355120"/>
        <crosses val="autoZero"/>
        <auto val="1"/>
        <lblAlgn val="ctr"/>
        <lblOffset val="100"/>
        <noMultiLvlLbl val="0"/>
      </catAx>
      <valAx>
        <axId val="1856355120"/>
        <scaling>
          <orientation val="minMax"/>
        </scaling>
        <delete val="1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_(&quot;R$&quot;* #,##0.00_);_(&quot;R$&quot;* \(#,##0.00\);_(&quot;R$&quot;* &quot;-&quot;??_);_(@_)" sourceLinked="1"/>
        <majorTickMark val="out"/>
        <minorTickMark val="none"/>
        <tickLblPos val="nextTo"/>
        <crossAx val="1856346480"/>
        <crosses val="autoZero"/>
        <crossBetween val="between"/>
      </valAx>
    </plotArea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800" b="1" i="0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 baseline="0">
                <a:solidFill>
                  <a:schemeClr val="bg1"/>
                </a:solidFill>
              </a:rPr>
              <a:t>VENDAS E ANUNCIOS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800" b="1" i="0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5114289034992002"/>
          <y val="0.07480251884191032"/>
          <w val="0.9017338383751337"/>
          <h val="0.7982250656167978"/>
        </manualLayout>
      </layout>
      <barChart>
        <barDir val="col"/>
        <grouping val="clustered"/>
        <varyColors val="0"/>
        <ser>
          <idx val="0"/>
          <order val="0"/>
          <tx>
            <strRef>
              <f>'2025'!$C$29:$C$30</f>
              <strCache>
                <ptCount val="2"/>
                <pt idx="0">
                  <v>LIQUIDO</v>
                </pt>
              </strCache>
            </strRef>
          </tx>
          <spPr>
            <a:solidFill xmlns:a="http://schemas.openxmlformats.org/drawingml/2006/main">
              <a:srgbClr val="00FF00"/>
            </a:soli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dLbl>
              <idx val="3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8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1450" b="0" i="0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pt-BR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9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0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45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'2025'!$A$31:$A$41</f>
              <numCache>
                <formatCode>General</formatCode>
                <ptCount val="11"/>
                <pt idx="0">
                  <v>2020</v>
                </pt>
                <pt idx="2">
                  <v>2021</v>
                </pt>
                <pt idx="4">
                  <v>2022</v>
                </pt>
                <pt idx="6">
                  <v>2023</v>
                </pt>
                <pt idx="8">
                  <v>2024</v>
                </pt>
                <pt idx="10">
                  <v>2025</v>
                </pt>
              </numCache>
            </numRef>
          </cat>
          <val>
            <numRef>
              <f>'2025'!$C$31:$C$41</f>
              <numCache>
                <formatCode>General</formatCode>
                <ptCount val="11"/>
                <pt idx="0">
                  <formatCode>_("R$"* #,##0.00_);_("R$"* \(#,##0.00\);_("R$"* "-"??_);_(@_)</formatCode>
                  <v>49294</v>
                </pt>
                <pt idx="2">
                  <formatCode>_("R$"* #,##0.00_);_("R$"* \(#,##0.00\);_("R$"* "-"??_);_(@_)</formatCode>
                  <v>101790</v>
                </pt>
                <pt idx="4">
                  <formatCode>_("R$"* #,##0.00_);_("R$"* \(#,##0.00\);_("R$"* "-"??_);_(@_)</formatCode>
                  <v>53219</v>
                </pt>
                <pt idx="6">
                  <formatCode>_("R$"* #,##0.00_);_("R$"* \(#,##0.00\);_("R$"* "-"??_);_(@_)</formatCode>
                  <v>71587</v>
                </pt>
                <pt idx="8">
                  <formatCode>_("R$"* #,##0.00_);_("R$"* \(#,##0.00\);_("R$"* "-"??_);_(@_)</formatCode>
                  <v>102826</v>
                </pt>
                <pt idx="10">
                  <formatCode>_("R$"* #,##0.00_);_("R$"* \(#,##0.00\);_("R$"* "-"??_);_(@_)</formatCode>
                  <v>122702</v>
                </pt>
              </numCache>
            </numRef>
          </val>
        </ser>
        <ser>
          <idx val="1"/>
          <order val="1"/>
          <tx>
            <strRef>
              <f>'2025'!$E$29:$E$30</f>
              <strCache>
                <ptCount val="2"/>
                <pt idx="0">
                  <v>ANUNCIOS</v>
                </pt>
              </strCache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dLbl>
              <idx val="0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8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0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300" b="0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'2025'!$A$31:$A$41</f>
              <numCache>
                <formatCode>General</formatCode>
                <ptCount val="11"/>
                <pt idx="0">
                  <v>2020</v>
                </pt>
                <pt idx="2">
                  <v>2021</v>
                </pt>
                <pt idx="4">
                  <v>2022</v>
                </pt>
                <pt idx="6">
                  <v>2023</v>
                </pt>
                <pt idx="8">
                  <v>2024</v>
                </pt>
                <pt idx="10">
                  <v>2025</v>
                </pt>
              </numCache>
            </numRef>
          </cat>
          <val>
            <numRef>
              <f>'2025'!$E$31:$E$41</f>
              <numCache>
                <formatCode>General</formatCode>
                <ptCount val="11"/>
                <pt idx="0">
                  <formatCode>_("R$"* #,##0.00_);_("R$"* \(#,##0.00\);_("R$"* "-"??_);_(@_)</formatCode>
                  <v>37911</v>
                </pt>
                <pt idx="2">
                  <formatCode>_("R$"* #,##0.00_);_("R$"* \(#,##0.00\);_("R$"* "-"??_);_(@_)</formatCode>
                  <v>29000</v>
                </pt>
                <pt idx="4">
                  <formatCode>_("R$"* #,##0.00_);_("R$"* \(#,##0.00\);_("R$"* "-"??_);_(@_)</formatCode>
                  <v>10006</v>
                </pt>
                <pt idx="6">
                  <formatCode>_("R$"* #,##0.00_);_("R$"* \(#,##0.00\);_("R$"* "-"??_);_(@_)</formatCode>
                  <v>11850</v>
                </pt>
                <pt idx="8">
                  <formatCode>_("R$"* #,##0.00_);_("R$"* \(#,##0.00\);_("R$"* "-"??_);_(@_)</formatCode>
                  <v>17520</v>
                </pt>
                <pt idx="10">
                  <formatCode>_("R$"* #,##0.00_);_("R$"* \(#,##0.00\);_("R$"* "-"??_);_(@_)</formatCode>
                  <v>22762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189103184"/>
        <axId val="1189095568"/>
      </barChart>
      <catAx>
        <axId val="118910318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5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1189095568"/>
        <crosses val="autoZero"/>
        <auto val="1"/>
        <lblAlgn val="ctr"/>
        <lblOffset val="100"/>
        <noMultiLvlLbl val="0"/>
      </catAx>
      <valAx>
        <axId val="1189095568"/>
        <scaling>
          <orientation val="minMax"/>
        </scaling>
        <delete val="1"/>
        <axPos val="l"/>
        <numFmt formatCode="_(&quot;R$&quot;* #,##0.00_);_(&quot;R$&quot;* \(#,##0.00\);_(&quot;R$&quot;* &quot;-&quot;??_);_(@_)" sourceLinked="1"/>
        <majorTickMark val="none"/>
        <minorTickMark val="none"/>
        <tickLblPos val="nextTo"/>
        <crossAx val="11891031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5114291390866978"/>
          <y val="0.0795407782757621"/>
          <w val="0.9017338383751337"/>
          <h val="0.7982250656167978"/>
        </manualLayout>
      </layout>
      <barChart>
        <barDir val="col"/>
        <grouping val="clustered"/>
        <varyColors val="0"/>
        <ser>
          <idx val="0"/>
          <order val="0"/>
          <tx>
            <strRef>
              <f>'2026'!$B$7</f>
              <strCache>
                <ptCount val="1"/>
                <pt idx="0">
                  <v>VENDAS</v>
                </pt>
              </strCache>
            </strRef>
          </tx>
          <spPr>
            <a:solidFill xmlns:a="http://schemas.openxmlformats.org/drawingml/2006/main">
              <a:srgbClr val="00FF00"/>
            </a:soli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dLbl>
              <idx val="2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8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1300" b="0" i="0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pt-BR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9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0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3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'2026'!$A$8:$A$20</f>
              <strCache>
                <ptCount val="13"/>
                <pt idx="1">
                  <v>JAN</v>
                </pt>
                <pt idx="2">
                  <v>FEV</v>
                </pt>
                <pt idx="3">
                  <v>MAR</v>
                </pt>
                <pt idx="4">
                  <v>ABRIL</v>
                </pt>
                <pt idx="5">
                  <v>MAIO</v>
                </pt>
                <pt idx="6">
                  <v>JUNHO</v>
                </pt>
                <pt idx="7">
                  <v>JULHO</v>
                </pt>
                <pt idx="8">
                  <v>AGOSTO</v>
                </pt>
                <pt idx="9">
                  <v>SETEMBRO</v>
                </pt>
                <pt idx="10">
                  <v>OUTUBRO</v>
                </pt>
                <pt idx="11">
                  <v>NOVEMBRO</v>
                </pt>
                <pt idx="12">
                  <v>DEZEMBRO</v>
                </pt>
              </strCache>
            </strRef>
          </cat>
          <val>
            <numRef>
              <f>'2026'!$B$8:$B$20</f>
              <numCache>
                <formatCode>_("R$"* #,##0.00_);_("R$"* \(#,##0.00\);_("R$"* "-"??_);_(@_)</formatCode>
                <ptCount val="13"/>
                <pt idx="1">
                  <v>8938</v>
                </pt>
                <pt idx="2">
                  <v>5885</v>
                </pt>
                <pt idx="3">
                  <v>11524</v>
                </pt>
                <pt idx="4">
                  <v>19228</v>
                </pt>
                <pt idx="5">
                  <v>13973</v>
                </pt>
              </numCache>
            </numRef>
          </val>
        </ser>
        <ser>
          <idx val="1"/>
          <order val="1"/>
          <tx>
            <strRef>
              <f>'2026'!$C$7</f>
              <strCache>
                <ptCount val="1"/>
                <pt idx="0">
                  <v>ANUNCIO</v>
                </pt>
              </strCache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dLbl>
              <idx val="3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1020" b="0" i="0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pt-BR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8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2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'2026'!$A$8:$A$20</f>
              <strCache>
                <ptCount val="13"/>
                <pt idx="1">
                  <v>JAN</v>
                </pt>
                <pt idx="2">
                  <v>FEV</v>
                </pt>
                <pt idx="3">
                  <v>MAR</v>
                </pt>
                <pt idx="4">
                  <v>ABRIL</v>
                </pt>
                <pt idx="5">
                  <v>MAIO</v>
                </pt>
                <pt idx="6">
                  <v>JUNHO</v>
                </pt>
                <pt idx="7">
                  <v>JULHO</v>
                </pt>
                <pt idx="8">
                  <v>AGOSTO</v>
                </pt>
                <pt idx="9">
                  <v>SETEMBRO</v>
                </pt>
                <pt idx="10">
                  <v>OUTUBRO</v>
                </pt>
                <pt idx="11">
                  <v>NOVEMBRO</v>
                </pt>
                <pt idx="12">
                  <v>DEZEMBRO</v>
                </pt>
              </strCache>
            </strRef>
          </cat>
          <val>
            <numRef>
              <f>'2026'!$C$8:$C$20</f>
              <numCache>
                <formatCode>_("R$"* #,##0.00_);_("R$"* \(#,##0.00\);_("R$"* "-"??_);_(@_)</formatCode>
                <ptCount val="13"/>
                <pt idx="1">
                  <v>2900</v>
                </pt>
                <pt idx="2">
                  <v>1910</v>
                </pt>
                <pt idx="3">
                  <v>3800</v>
                </pt>
                <pt idx="4">
                  <v>4500</v>
                </pt>
                <pt idx="5">
                  <v>3400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189103184"/>
        <axId val="1189095568"/>
      </barChart>
      <catAx>
        <axId val="118910318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1189095568"/>
        <crosses val="autoZero"/>
        <auto val="1"/>
        <lblAlgn val="ctr"/>
        <lblOffset val="100"/>
        <noMultiLvlLbl val="0"/>
      </catAx>
      <valAx>
        <axId val="1189095568"/>
        <scaling>
          <orientation val="minMax"/>
        </scaling>
        <delete val="1"/>
        <axPos val="l"/>
        <numFmt formatCode="General" sourceLinked="1"/>
        <majorTickMark val="none"/>
        <minorTickMark val="none"/>
        <tickLblPos val="nextTo"/>
        <crossAx val="11891031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2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pt-BR"/>
              <a:t>Vendas</a:t>
            </a:r>
            <a:r>
              <a:rPr lang="pt-BR" baseline="0"/>
              <a:t xml:space="preserve"> Site Anual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1991937247478821"/>
          <y val="0.1009299279633268"/>
          <w val="0.96869812896819"/>
          <h val="0.7890504256712509"/>
        </manualLayout>
      </layout>
      <barChart>
        <barDir val="col"/>
        <grouping val="clustered"/>
        <varyColors val="0"/>
        <ser>
          <idx val="0"/>
          <order val="0"/>
          <spPr>
            <a:gradFill xmlns:a="http://schemas.openxmlformats.org/drawingml/2006/main"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20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'2026'!$B$35:$B$43</f>
              <numCache>
                <formatCode>General</formatCode>
                <ptCount val="9"/>
                <pt idx="0">
                  <formatCode>_("R$"* #,##0.00_);_("R$"* \(#,##0.00\);_("R$"* "-"??_);_(@_)</formatCode>
                  <v>53500</v>
                </pt>
                <pt idx="2">
                  <formatCode>_("R$"* #,##0.00_);_("R$"* \(#,##0.00\);_("R$"* "-"??_);_(@_)</formatCode>
                  <v>85625</v>
                </pt>
                <pt idx="4">
                  <formatCode>_("R$"* #,##0.00_);_("R$"* \(#,##0.00\);_("R$"* "-"??_);_(@_)</formatCode>
                  <v>102826</v>
                </pt>
                <pt idx="6">
                  <formatCode>_("R$"* #,##0.00_);_("R$"* \(#,##0.00\);_("R$"* "-"??_);_(@_)</formatCode>
                  <v>122702</v>
                </pt>
                <pt idx="8">
                  <formatCode>_("R$"* #,##0.00_);_("R$"* \(#,##0.00\);_("R$"* "-"??_);_(@_)</formatCode>
                  <v>59347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856346480"/>
        <axId val="1856355120"/>
      </barChart>
      <catAx>
        <axId val="1856346480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856355120"/>
        <crosses val="autoZero"/>
        <auto val="1"/>
        <lblAlgn val="ctr"/>
        <lblOffset val="100"/>
        <noMultiLvlLbl val="0"/>
      </catAx>
      <valAx>
        <axId val="1856355120"/>
        <scaling>
          <orientation val="minMax"/>
        </scaling>
        <delete val="1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_(&quot;R$&quot;* #,##0.00_);_(&quot;R$&quot;* \(#,##0.00\);_(&quot;R$&quot;* &quot;-&quot;??_);_(@_)" sourceLinked="1"/>
        <majorTickMark val="out"/>
        <minorTickMark val="none"/>
        <tickLblPos val="nextTo"/>
        <crossAx val="1856346480"/>
        <crosses val="autoZero"/>
        <crossBetween val="between"/>
      </valAx>
    </plotArea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800" b="1" i="0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 baseline="0">
                <a:solidFill>
                  <a:schemeClr val="bg1"/>
                </a:solidFill>
              </a:rPr>
              <a:t>VENDAS E ANUNCIOS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800" b="1" i="0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5114289034992002"/>
          <y val="0.07480251884191032"/>
          <w val="0.9017338383751337"/>
          <h val="0.7982250656167978"/>
        </manualLayout>
      </layout>
      <barChart>
        <barDir val="col"/>
        <grouping val="clustered"/>
        <varyColors val="0"/>
        <ser>
          <idx val="0"/>
          <order val="0"/>
          <tx>
            <strRef>
              <f>'2025'!$C$29:$C$30</f>
              <strCache>
                <ptCount val="2"/>
                <pt idx="0">
                  <v>LIQUIDO</v>
                </pt>
              </strCache>
            </strRef>
          </tx>
          <spPr>
            <a:solidFill xmlns:a="http://schemas.openxmlformats.org/drawingml/2006/main">
              <a:srgbClr val="00FF00"/>
            </a:soli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dLbl>
              <idx val="3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8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1450" b="0" i="0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pt-BR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9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0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45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'2025'!$A$31:$A$41</f>
              <numCache>
                <formatCode>General</formatCode>
                <ptCount val="11"/>
                <pt idx="0">
                  <v>2020</v>
                </pt>
                <pt idx="2">
                  <v>2021</v>
                </pt>
                <pt idx="4">
                  <v>2022</v>
                </pt>
                <pt idx="6">
                  <v>2023</v>
                </pt>
                <pt idx="8">
                  <v>2024</v>
                </pt>
                <pt idx="10">
                  <v>2025</v>
                </pt>
              </numCache>
            </numRef>
          </cat>
          <val>
            <numRef>
              <f>'2025'!$C$31:$C$41</f>
              <numCache>
                <formatCode>General</formatCode>
                <ptCount val="11"/>
                <pt idx="0">
                  <formatCode>_("R$"* #,##0.00_);_("R$"* \(#,##0.00\);_("R$"* "-"??_);_(@_)</formatCode>
                  <v>49294</v>
                </pt>
                <pt idx="2">
                  <formatCode>_("R$"* #,##0.00_);_("R$"* \(#,##0.00\);_("R$"* "-"??_);_(@_)</formatCode>
                  <v>101790</v>
                </pt>
                <pt idx="4">
                  <formatCode>_("R$"* #,##0.00_);_("R$"* \(#,##0.00\);_("R$"* "-"??_);_(@_)</formatCode>
                  <v>53219</v>
                </pt>
                <pt idx="6">
                  <formatCode>_("R$"* #,##0.00_);_("R$"* \(#,##0.00\);_("R$"* "-"??_);_(@_)</formatCode>
                  <v>71587</v>
                </pt>
                <pt idx="8">
                  <formatCode>_("R$"* #,##0.00_);_("R$"* \(#,##0.00\);_("R$"* "-"??_);_(@_)</formatCode>
                  <v>102826</v>
                </pt>
                <pt idx="10">
                  <formatCode>_("R$"* #,##0.00_);_("R$"* \(#,##0.00\);_("R$"* "-"??_);_(@_)</formatCode>
                  <v>122702</v>
                </pt>
              </numCache>
            </numRef>
          </val>
        </ser>
        <ser>
          <idx val="1"/>
          <order val="1"/>
          <tx>
            <strRef>
              <f>'2025'!$E$29:$E$30</f>
              <strCache>
                <ptCount val="2"/>
                <pt idx="0">
                  <v>ANUNCIOS</v>
                </pt>
              </strCache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dLbl>
              <idx val="0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8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0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300" b="0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'2025'!$A$31:$A$41</f>
              <numCache>
                <formatCode>General</formatCode>
                <ptCount val="11"/>
                <pt idx="0">
                  <v>2020</v>
                </pt>
                <pt idx="2">
                  <v>2021</v>
                </pt>
                <pt idx="4">
                  <v>2022</v>
                </pt>
                <pt idx="6">
                  <v>2023</v>
                </pt>
                <pt idx="8">
                  <v>2024</v>
                </pt>
                <pt idx="10">
                  <v>2025</v>
                </pt>
              </numCache>
            </numRef>
          </cat>
          <val>
            <numRef>
              <f>'2025'!$E$31:$E$41</f>
              <numCache>
                <formatCode>General</formatCode>
                <ptCount val="11"/>
                <pt idx="0">
                  <formatCode>_("R$"* #,##0.00_);_("R$"* \(#,##0.00\);_("R$"* "-"??_);_(@_)</formatCode>
                  <v>37911</v>
                </pt>
                <pt idx="2">
                  <formatCode>_("R$"* #,##0.00_);_("R$"* \(#,##0.00\);_("R$"* "-"??_);_(@_)</formatCode>
                  <v>29000</v>
                </pt>
                <pt idx="4">
                  <formatCode>_("R$"* #,##0.00_);_("R$"* \(#,##0.00\);_("R$"* "-"??_);_(@_)</formatCode>
                  <v>10006</v>
                </pt>
                <pt idx="6">
                  <formatCode>_("R$"* #,##0.00_);_("R$"* \(#,##0.00\);_("R$"* "-"??_);_(@_)</formatCode>
                  <v>11850</v>
                </pt>
                <pt idx="8">
                  <formatCode>_("R$"* #,##0.00_);_("R$"* \(#,##0.00\);_("R$"* "-"??_);_(@_)</formatCode>
                  <v>17520</v>
                </pt>
                <pt idx="10">
                  <formatCode>_("R$"* #,##0.00_);_("R$"* \(#,##0.00\);_("R$"* "-"??_);_(@_)</formatCode>
                  <v>22762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189103184"/>
        <axId val="1189095568"/>
      </barChart>
      <catAx>
        <axId val="118910318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lt1">
                <a:alpha val="54000"/>
                <a:lumMod val="9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500" b="0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1189095568"/>
        <crosses val="autoZero"/>
        <auto val="1"/>
        <lblAlgn val="ctr"/>
        <lblOffset val="100"/>
        <noMultiLvlLbl val="0"/>
      </catAx>
      <valAx>
        <axId val="1189095568"/>
        <scaling>
          <orientation val="minMax"/>
        </scaling>
        <delete val="1"/>
        <axPos val="l"/>
        <numFmt formatCode="_(&quot;R$&quot;* #,##0.00_);_(&quot;R$&quot;* \(#,##0.00\);_(&quot;R$&quot;* &quot;-&quot;??_);_(@_)" sourceLinked="1"/>
        <majorTickMark val="none"/>
        <minorTickMark val="none"/>
        <tickLblPos val="nextTo"/>
        <crossAx val="118910318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legend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 w="9525" cap="flat" cmpd="sng" algn="ctr">
      <a:noFill/>
      <a:prstDash val="solid"/>
      <a:round/>
    </a:ln>
  </spPr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effectLst>
                  <a:outerShdw blurRad="50800" dist="38100" dir="5400000" algn="t" rotWithShape="0">
                    <a:prstClr val="black"/>
                  </a:outerShdw>
                </effectLst>
                <a:latin typeface="+mn-lt"/>
                <a:ea typeface="+mn-ea"/>
                <a:cs typeface="+mn-cs"/>
              </a:defRPr>
            </a:pPr>
            <a:r>
              <a:rPr lang="pt-BR"/>
              <a:t>Vendas</a:t>
            </a:r>
            <a:r>
              <a:rPr lang="pt-BR" baseline="0"/>
              <a:t xml:space="preserve"> Site Anual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spc="100" baseline="0">
              <a:solidFill>
                <a:schemeClr val="lt1">
                  <a:lumMod val="95000"/>
                </a:schemeClr>
              </a:solidFill>
              <effectLst>
                <a:outerShdw blurRad="50800" dist="38100" dir="5400000" algn="t" rotWithShape="0">
                  <a:prstClr val="black"/>
                </a:outerShdw>
              </effectLst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1991937247478821"/>
          <y val="0.1009299279633268"/>
          <w val="0.96869812896819"/>
          <h val="0.7890504256712509"/>
        </manualLayout>
      </layout>
      <barChart>
        <barDir val="col"/>
        <grouping val="clustered"/>
        <varyColors val="0"/>
        <ser>
          <idx val="0"/>
          <order val="0"/>
          <spPr>
            <a:gradFill xmlns:a="http://schemas.openxmlformats.org/drawingml/2006/main"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5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pt-B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'GRAFICO 5 ANOS'!$B$3:$B$74</f>
              <numCache>
                <formatCode>_("R$"* #,##0.00_);_("R$"* \(#,##0.00\);_("R$"* "-"??_);_(@_)</formatCode>
                <ptCount val="72"/>
                <pt idx="0">
                  <v>7556</v>
                </pt>
                <pt idx="1">
                  <v>13288</v>
                </pt>
                <pt idx="2">
                  <v>8473</v>
                </pt>
                <pt idx="3">
                  <v>10367</v>
                </pt>
                <pt idx="4">
                  <v>6251</v>
                </pt>
                <pt idx="5">
                  <v>13338</v>
                </pt>
                <pt idx="6">
                  <v>9176</v>
                </pt>
                <pt idx="7">
                  <v>8121</v>
                </pt>
                <pt idx="8">
                  <v>11379</v>
                </pt>
                <pt idx="9">
                  <v>5276</v>
                </pt>
                <pt idx="10">
                  <v>5898</v>
                </pt>
                <pt idx="11">
                  <v>2536</v>
                </pt>
                <pt idx="12">
                  <v>2736</v>
                </pt>
                <pt idx="13">
                  <v>1109</v>
                </pt>
                <pt idx="14">
                  <v>1537</v>
                </pt>
                <pt idx="15">
                  <v>4783</v>
                </pt>
                <pt idx="16">
                  <v>3347</v>
                </pt>
                <pt idx="17">
                  <v>5579</v>
                </pt>
                <pt idx="18">
                  <v>5797</v>
                </pt>
                <pt idx="19">
                  <v>6415</v>
                </pt>
                <pt idx="20">
                  <v>5403</v>
                </pt>
                <pt idx="21">
                  <v>6290</v>
                </pt>
                <pt idx="22">
                  <v>6203</v>
                </pt>
                <pt idx="23">
                  <v>3963</v>
                </pt>
                <pt idx="24">
                  <v>1943</v>
                </pt>
                <pt idx="25">
                  <v>0</v>
                </pt>
                <pt idx="26">
                  <v>1900</v>
                </pt>
                <pt idx="27">
                  <v>7034</v>
                </pt>
                <pt idx="28">
                  <v>7091</v>
                </pt>
                <pt idx="29">
                  <v>4622</v>
                </pt>
                <pt idx="30">
                  <v>5884</v>
                </pt>
                <pt idx="31">
                  <v>11001</v>
                </pt>
                <pt idx="32">
                  <v>7655</v>
                </pt>
                <pt idx="33">
                  <v>5333</v>
                </pt>
                <pt idx="34">
                  <v>10077</v>
                </pt>
                <pt idx="35">
                  <v>9047</v>
                </pt>
                <pt idx="36">
                  <v>4984</v>
                </pt>
                <pt idx="37">
                  <v>3530</v>
                </pt>
                <pt idx="38">
                  <v>7412</v>
                </pt>
                <pt idx="39">
                  <v>7740</v>
                </pt>
                <pt idx="40">
                  <v>10084</v>
                </pt>
                <pt idx="41">
                  <v>8433</v>
                </pt>
                <pt idx="42">
                  <v>10320</v>
                </pt>
                <pt idx="43">
                  <v>7273</v>
                </pt>
                <pt idx="44">
                  <v>9984</v>
                </pt>
                <pt idx="45">
                  <v>11558</v>
                </pt>
                <pt idx="46">
                  <v>14567</v>
                </pt>
                <pt idx="47">
                  <v>6941</v>
                </pt>
                <pt idx="48">
                  <v>8265</v>
                </pt>
                <pt idx="49">
                  <v>2725</v>
                </pt>
                <pt idx="50">
                  <v>15291</v>
                </pt>
                <pt idx="51">
                  <v>6448</v>
                </pt>
                <pt idx="52">
                  <v>12218</v>
                </pt>
                <pt idx="53">
                  <v>6300</v>
                </pt>
                <pt idx="54">
                  <v>9678</v>
                </pt>
                <pt idx="55">
                  <v>8317</v>
                </pt>
                <pt idx="56">
                  <v>15617</v>
                </pt>
                <pt idx="57">
                  <v>16339</v>
                </pt>
                <pt idx="58">
                  <v>14868</v>
                </pt>
                <pt idx="59">
                  <v>6635</v>
                </pt>
                <pt idx="60">
                  <v>8938</v>
                </pt>
                <pt idx="61">
                  <v>5585</v>
                </pt>
                <pt idx="62">
                  <v>11524</v>
                </pt>
                <pt idx="63">
                  <v>19228</v>
                </pt>
                <pt idx="64">
                  <v>13973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00"/>
        <axId val="1856346480"/>
        <axId val="1856355120"/>
      </barChart>
      <catAx>
        <axId val="1856346480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856355120"/>
        <crosses val="autoZero"/>
        <auto val="1"/>
        <lblAlgn val="ctr"/>
        <lblOffset val="100"/>
        <noMultiLvlLbl val="0"/>
      </catAx>
      <valAx>
        <axId val="1856355120"/>
        <scaling>
          <orientation val="minMax"/>
        </scaling>
        <delete val="1"/>
        <axPos val="l"/>
        <majorGridlines>
          <spPr>
            <a:ln xmlns:a="http://schemas.openxmlformats.org/drawingml/2006/main" w="9525" cap="flat" cmpd="sng" algn="ctr">
              <a:solidFill>
                <a:schemeClr val="lt1">
                  <a:alpha val="10000"/>
                  <a:lumMod val="95000"/>
                </a:schemeClr>
              </a:solidFill>
              <a:prstDash val="solid"/>
              <a:round/>
            </a:ln>
          </spPr>
        </majorGridlines>
        <numFmt formatCode="_(&quot;R$&quot;* #,##0.00_);_(&quot;R$&quot;* \(#,##0.00\);_(&quot;R$&quot;* &quot;-&quot;??_);_(@_)" sourceLinked="1"/>
        <majorTickMark val="out"/>
        <minorTickMark val="none"/>
        <tickLblPos val="nextTo"/>
        <crossAx val="1856346480"/>
        <crosses val="autoZero"/>
        <crossBetween val="between"/>
      </valAx>
    </plotArea>
    <plotVisOnly val="1"/>
    <dispBlanksAs val="gap"/>
  </chart>
  <spPr>
    <a:gradFill xmlns:a="http://schemas.openxmlformats.org/drawingml/2006/main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xmlns:a="http://schemas.openxmlformats.org/drawingml/2006/main">
      <a:noFill/>
      <a:prstDash val="solid"/>
    </a:ln>
  </spPr>
</chartSpace>
</file>

<file path=xl/comments/comment1.xml><?xml version="1.0" encoding="utf-8"?>
<comments xmlns="http://schemas.openxmlformats.org/spreadsheetml/2006/main">
  <authors>
    <author>Usuário-Pc</author>
  </authors>
  <commentList>
    <comment ref="D11" authorId="0" shapeId="0">
      <text>
        <t>Usuário-Pc:
2600 vendas google</t>
      </text>
    </comment>
    <comment ref="D12" authorId="0" shapeId="0">
      <text>
        <t xml:space="preserve">Usuário-Pc:
1015
</t>
      </text>
    </comment>
    <comment ref="D13" authorId="0" shapeId="0">
      <text>
        <t xml:space="preserve">Usuário-Pc:
545
</t>
      </text>
    </comment>
    <comment ref="D14" authorId="0" shapeId="0">
      <text>
        <t>Usuário-Pc:
270</t>
      </text>
    </comment>
    <comment ref="D15" authorId="0" shapeId="0">
      <text>
        <t>Usuário-Pc:
850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image" Target="/xl/media/image1.png" Id="rId4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Relationship Type="http://schemas.openxmlformats.org/officeDocument/2006/relationships/image" Target="/xl/media/image2.png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image" Target="/xl/media/image3.png" Id="rId3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image" Target="/xl/media/image4.png" Id="rId3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2.xml" Id="rId1"/><Relationship Type="http://schemas.openxmlformats.org/officeDocument/2006/relationships/chart" Target="/xl/charts/chart13.xml" Id="rId2"/><Relationship Type="http://schemas.openxmlformats.org/officeDocument/2006/relationships/image" Target="/xl/media/image5.png" Id="rId3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chart" Target="/xl/charts/chart15.xml" Id="rId2"/><Relationship Type="http://schemas.openxmlformats.org/officeDocument/2006/relationships/chart" Target="/xl/charts/chart16.xml" Id="rId3"/><Relationship Type="http://schemas.openxmlformats.org/officeDocument/2006/relationships/image" Target="/xl/media/image6.png" Id="rId4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7.xml" Id="rId1"/><Relationship Type="http://schemas.openxmlformats.org/officeDocument/2006/relationships/chart" Target="/xl/charts/chart18.xml" Id="rId2"/><Relationship Type="http://schemas.openxmlformats.org/officeDocument/2006/relationships/chart" Target="/xl/charts/chart19.xml" Id="rId3"/><Relationship Type="http://schemas.openxmlformats.org/officeDocument/2006/relationships/image" Target="/xl/media/image7.png" Id="rId4"/></Relationships>
</file>

<file path=xl/drawings/_rels/drawing9.xml.rels><Relationships xmlns="http://schemas.openxmlformats.org/package/2006/relationships"><Relationship Type="http://schemas.openxmlformats.org/officeDocument/2006/relationships/chart" Target="/xl/charts/chart20.xml" Id="rId1"/></Relationships>
</file>

<file path=xl/drawings/drawing1.xml><?xml version="1.0" encoding="utf-8"?>
<wsDr xmlns="http://schemas.openxmlformats.org/drawingml/2006/spreadsheetDrawing">
  <twoCellAnchor>
    <from>
      <col>5</col>
      <colOff>254001</colOff>
      <row>0</row>
      <rowOff>63500</rowOff>
    </from>
    <to>
      <col>23</col>
      <colOff>338667</colOff>
      <row>15</row>
      <rowOff>207434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25</col>
      <colOff>10583</colOff>
      <row>8</row>
      <rowOff>10583</rowOff>
    </from>
    <to>
      <col>30</col>
      <colOff>211667</colOff>
      <row>18</row>
      <rowOff>31750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5</col>
      <colOff>270931</colOff>
      <row>0</row>
      <rowOff>42335</rowOff>
    </from>
    <to>
      <col>18</col>
      <colOff>323850</colOff>
      <row>18</row>
      <rowOff>66675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5</col>
      <colOff>356870</colOff>
      <row>21</row>
      <rowOff>163407</rowOff>
    </from>
    <to>
      <col>17</col>
      <colOff>323850</colOff>
      <row>36</row>
      <rowOff>142241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21</col>
      <colOff>361950</colOff>
      <row>1</row>
      <rowOff>95250</rowOff>
    </from>
    <to>
      <col>31</col>
      <colOff>457200</colOff>
      <row>14</row>
      <rowOff>47625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0</col>
      <colOff>702945</colOff>
      <row>1</row>
      <rowOff>57149</rowOff>
    </from>
    <to>
      <col>2</col>
      <colOff>1117402</colOff>
      <row>4</row>
      <rowOff>85724</rowOff>
    </to>
    <pic>
      <nvPicPr>
        <cNvPr id="2" name="Imagem 1" descr="logo_red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02945" y="238124"/>
          <a:ext cx="4133970" cy="7715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6</col>
      <colOff>335756</colOff>
      <row>1</row>
      <rowOff>40481</rowOff>
    </from>
    <to>
      <col>21</col>
      <colOff>278606</colOff>
      <row>20</row>
      <rowOff>57678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24</col>
      <colOff>361950</colOff>
      <row>4</row>
      <rowOff>95250</rowOff>
    </from>
    <to>
      <col>35</col>
      <colOff>250031</colOff>
      <row>18</row>
      <rowOff>297656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0</col>
      <colOff>331468</colOff>
      <row>1</row>
      <rowOff>28572</rowOff>
    </from>
    <to>
      <col>3</col>
      <colOff>665172</colOff>
      <row>4</row>
      <rowOff>358509</rowOff>
    </to>
    <pic>
      <nvPicPr>
        <cNvPr id="2" name="Imagem 1" descr="logo_red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31468" y="207166"/>
          <a:ext cx="6154538" cy="11382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6</col>
      <colOff>335756</colOff>
      <row>1</row>
      <rowOff>40481</rowOff>
    </from>
    <to>
      <col>21</col>
      <colOff>278606</colOff>
      <row>20</row>
      <rowOff>57678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24</col>
      <colOff>361950</colOff>
      <row>4</row>
      <rowOff>95250</rowOff>
    </from>
    <to>
      <col>35</col>
      <colOff>250031</colOff>
      <row>18</row>
      <rowOff>297656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0</col>
      <colOff>331468</colOff>
      <row>2</row>
      <rowOff>28574</rowOff>
    </from>
    <to>
      <col>2</col>
      <colOff>200025</colOff>
      <row>4</row>
      <rowOff>131908</rowOff>
    </to>
    <pic>
      <nvPicPr>
        <cNvPr id="2" name="Imagem 1" descr="logo_red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31468" y="390524"/>
          <a:ext cx="3735707" cy="74150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>
    <from>
      <col>6</col>
      <colOff>335756</colOff>
      <row>1</row>
      <rowOff>40481</rowOff>
    </from>
    <to>
      <col>21</col>
      <colOff>278606</colOff>
      <row>20</row>
      <rowOff>57678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24</col>
      <colOff>361950</colOff>
      <row>4</row>
      <rowOff>95250</rowOff>
    </from>
    <to>
      <col>35</col>
      <colOff>250031</colOff>
      <row>18</row>
      <rowOff>297656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0</col>
      <colOff>560068</colOff>
      <row>2</row>
      <rowOff>19049</rowOff>
    </from>
    <to>
      <col>1</col>
      <colOff>1898356</colOff>
      <row>5</row>
      <rowOff>33338</rowOff>
    </to>
    <pic>
      <nvPicPr>
        <cNvPr id="2" name="Imagem 1" descr="logo_red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60068" y="380999"/>
          <a:ext cx="3157563" cy="67627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>
    <from>
      <col>5</col>
      <colOff>335756</colOff>
      <row>1</row>
      <rowOff>40481</rowOff>
    </from>
    <to>
      <col>20</col>
      <colOff>278606</colOff>
      <row>20</row>
      <rowOff>57678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23</col>
      <colOff>361950</colOff>
      <row>4</row>
      <rowOff>95250</rowOff>
    </from>
    <to>
      <col>34</col>
      <colOff>250031</colOff>
      <row>18</row>
      <rowOff>297656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</col>
      <colOff>1024411</colOff>
      <row>1</row>
      <rowOff>102393</rowOff>
    </from>
    <to>
      <col>3</col>
      <colOff>1357312</colOff>
      <row>5</row>
      <rowOff>23813</rowOff>
    </to>
    <pic>
      <nvPicPr>
        <cNvPr id="2" name="Imagem 1" descr="logo_red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072286" y="280987"/>
          <a:ext cx="4238151" cy="7548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5</col>
      <colOff>981074</colOff>
      <row>1</row>
      <rowOff>69056</rowOff>
    </from>
    <to>
      <col>24</col>
      <colOff>342899</colOff>
      <row>20</row>
      <rowOff>86253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6</col>
      <colOff>941916</colOff>
      <row>26</row>
      <rowOff>19049</rowOff>
    </from>
    <to>
      <col>19</col>
      <colOff>0</colOff>
      <row>44</row>
      <rowOff>200025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19</col>
      <colOff>1162048</colOff>
      <row>25</row>
      <rowOff>171451</rowOff>
    </from>
    <to>
      <col>35</col>
      <colOff>1514475</colOff>
      <row>44</row>
      <rowOff>323850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1</col>
      <colOff>1024411</colOff>
      <row>1</row>
      <rowOff>102393</rowOff>
    </from>
    <to>
      <col>3</col>
      <colOff>1349692</colOff>
      <row>5</row>
      <rowOff>115253</rowOff>
    </to>
    <pic>
      <nvPicPr>
        <cNvPr id="2" name="Imagem 1" descr="logo_red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3127531" y="285273"/>
          <a:ext cx="4356261" cy="7443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4</col>
      <colOff>309982</colOff>
      <row>0</row>
      <rowOff>158703</rowOff>
    </from>
    <to>
      <col>22</col>
      <colOff>298076</colOff>
      <row>19</row>
      <rowOff>292442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6</col>
      <colOff>941915</colOff>
      <row>26</row>
      <rowOff>19049</rowOff>
    </from>
    <to>
      <col>23</col>
      <colOff>21772</colOff>
      <row>45</row>
      <rowOff>5491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24</col>
      <colOff>359709</colOff>
      <row>26</row>
      <rowOff>86287</rowOff>
    </from>
    <to>
      <col>37</col>
      <colOff>663469</colOff>
      <row>45</row>
      <rowOff>93906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0</col>
      <colOff>2189823</colOff>
      <row>1</row>
      <rowOff>3783</rowOff>
    </from>
    <to>
      <col>2</col>
      <colOff>1488141</colOff>
      <row>4</row>
      <rowOff>154049</rowOff>
    </to>
    <pic>
      <nvPicPr>
        <cNvPr id="2" name="Imagem 1" descr="logo_red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2189823" y="183077"/>
          <a:ext cx="3726883" cy="7867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>
    <from>
      <col>3</col>
      <colOff>55470</colOff>
      <row>2</row>
      <rowOff>283942</rowOff>
    </from>
    <to>
      <col>42</col>
      <colOff>213125</colOff>
      <row>27</row>
      <rowOff>50115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7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zoomScale="110" zoomScaleNormal="110" workbookViewId="0">
      <selection activeCell="E13" sqref="E13"/>
    </sheetView>
  </sheetViews>
  <sheetFormatPr baseColWidth="8" defaultRowHeight="14.4"/>
  <cols>
    <col width="17.44140625" customWidth="1" min="1" max="1"/>
    <col width="34.5546875" customWidth="1" min="2" max="2"/>
    <col width="15.88671875" customWidth="1" min="3" max="3"/>
    <col width="17.44140625" customWidth="1" min="4" max="4"/>
    <col width="40.44140625" customWidth="1" min="5" max="5"/>
    <col width="32.88671875" customWidth="1" min="6" max="6"/>
    <col width="18.33203125" bestFit="1" customWidth="1" min="7" max="8"/>
    <col width="27.6640625" bestFit="1" customWidth="1" min="9" max="9"/>
  </cols>
  <sheetData>
    <row r="1" ht="30" customFormat="1" customHeight="1" s="91">
      <c r="A1" s="83" t="inlineStr">
        <is>
          <t>DATA</t>
        </is>
      </c>
      <c r="B1" s="83" t="inlineStr">
        <is>
          <t>NOME</t>
        </is>
      </c>
      <c r="C1" s="193" t="inlineStr">
        <is>
          <t xml:space="preserve"> VALOR</t>
        </is>
      </c>
      <c r="D1" s="83" t="inlineStr">
        <is>
          <t>STATUS</t>
        </is>
      </c>
      <c r="E1" s="85" t="inlineStr">
        <is>
          <t>FAT. TOTAL</t>
        </is>
      </c>
      <c r="F1" s="86" t="inlineStr">
        <is>
          <t>INVEST.TOTAL</t>
        </is>
      </c>
      <c r="G1" s="87" t="inlineStr">
        <is>
          <t>FACEBOOK</t>
        </is>
      </c>
      <c r="H1" s="88" t="inlineStr">
        <is>
          <t>GOOGLE</t>
        </is>
      </c>
      <c r="I1" s="89" t="inlineStr">
        <is>
          <t>CUSTO PRODUTOS</t>
        </is>
      </c>
      <c r="J1" s="90" t="n"/>
    </row>
    <row r="2" ht="22.8" customHeight="1">
      <c r="A2" s="54" t="n">
        <v>45293</v>
      </c>
      <c r="B2" s="55" t="inlineStr">
        <is>
          <t>ANA PAULA</t>
        </is>
      </c>
      <c r="C2" s="194" t="n">
        <v>157</v>
      </c>
      <c r="D2" s="194" t="inlineStr">
        <is>
          <t>PG</t>
        </is>
      </c>
      <c r="E2" s="195">
        <f>SUM(C1:C193)</f>
        <v/>
      </c>
      <c r="F2" s="196">
        <f>SUM(G2+H2)</f>
        <v/>
      </c>
      <c r="G2" s="197" t="n">
        <v>299</v>
      </c>
      <c r="H2" s="198" t="n">
        <v>664</v>
      </c>
      <c r="I2" s="199" t="n"/>
      <c r="J2" s="53" t="n"/>
    </row>
    <row r="3" ht="26.25" customHeight="1">
      <c r="A3" s="54" t="n">
        <v>45294</v>
      </c>
      <c r="B3" s="55" t="inlineStr">
        <is>
          <t>EMANOEL</t>
        </is>
      </c>
      <c r="C3" s="194" t="n">
        <v>167</v>
      </c>
      <c r="D3" s="194" t="inlineStr">
        <is>
          <t>PG</t>
        </is>
      </c>
      <c r="E3" s="200" t="n"/>
      <c r="F3" s="201" t="n"/>
      <c r="G3" s="201" t="n"/>
      <c r="H3" s="201" t="n"/>
      <c r="I3" s="53" t="n"/>
      <c r="J3" s="53" t="n"/>
    </row>
    <row r="4" ht="22.2" customHeight="1">
      <c r="A4" s="54" t="n">
        <v>45302</v>
      </c>
      <c r="B4" s="55" t="inlineStr">
        <is>
          <t>LEANDRO BRAGA</t>
        </is>
      </c>
      <c r="C4" s="194" t="n">
        <v>157</v>
      </c>
      <c r="D4" s="194" t="inlineStr">
        <is>
          <t>PG</t>
        </is>
      </c>
      <c r="E4" s="94" t="inlineStr">
        <is>
          <t>META</t>
        </is>
      </c>
      <c r="F4" s="95" t="inlineStr">
        <is>
          <t>3,5X ROI</t>
        </is>
      </c>
      <c r="G4" s="53" t="n"/>
      <c r="H4" s="53" t="n"/>
      <c r="I4" s="53" t="n"/>
      <c r="J4" s="53" t="n"/>
    </row>
    <row r="5" ht="15.6" customHeight="1">
      <c r="A5" s="54" t="n">
        <v>45303</v>
      </c>
      <c r="B5" s="55" t="inlineStr">
        <is>
          <t>ANDRE GILL</t>
        </is>
      </c>
      <c r="C5" s="194" t="n">
        <v>105</v>
      </c>
      <c r="D5" s="194" t="inlineStr">
        <is>
          <t>PG</t>
        </is>
      </c>
      <c r="E5" s="53" t="n"/>
      <c r="F5" s="53" t="n"/>
      <c r="G5" s="53" t="n"/>
      <c r="H5" s="53" t="n"/>
      <c r="I5" s="53" t="n"/>
      <c r="J5" s="53" t="n"/>
    </row>
    <row r="6" ht="16.8" customHeight="1">
      <c r="A6" s="54" t="n">
        <v>45304</v>
      </c>
      <c r="B6" s="55" t="inlineStr">
        <is>
          <t>ANACELI</t>
        </is>
      </c>
      <c r="C6" s="194" t="n">
        <v>168</v>
      </c>
      <c r="D6" s="194" t="inlineStr">
        <is>
          <t>PG</t>
        </is>
      </c>
      <c r="E6" s="112" t="inlineStr">
        <is>
          <t xml:space="preserve"> LIQUIDO</t>
        </is>
      </c>
      <c r="F6" s="113" t="inlineStr">
        <is>
          <t>ROI ATUAL</t>
        </is>
      </c>
      <c r="G6" s="139" t="inlineStr">
        <is>
          <t>retorno sobre investimento</t>
        </is>
      </c>
      <c r="H6" s="202" t="n"/>
      <c r="I6" s="53" t="n"/>
      <c r="J6" s="53" t="n"/>
    </row>
    <row r="7" ht="22.2" customHeight="1">
      <c r="A7" s="54" t="n">
        <v>45304</v>
      </c>
      <c r="B7" s="55" t="inlineStr">
        <is>
          <t>JEAN CARLOS</t>
        </is>
      </c>
      <c r="C7" s="194" t="n">
        <v>929</v>
      </c>
      <c r="D7" s="194" t="inlineStr">
        <is>
          <t>PG</t>
        </is>
      </c>
      <c r="E7" s="203">
        <f>SUM(C2:C5,C7,C9,C11:C13,C14:C23,C25,C27:C28,C35:C39,C41,C43:C48)</f>
        <v/>
      </c>
      <c r="F7" s="59">
        <f>E2/F2</f>
        <v/>
      </c>
      <c r="G7" s="53" t="n"/>
      <c r="H7" s="53" t="n"/>
      <c r="I7" s="53" t="n"/>
      <c r="J7" s="53" t="n"/>
    </row>
    <row r="8" ht="22.2" customHeight="1">
      <c r="A8" s="54" t="n">
        <v>45304</v>
      </c>
      <c r="B8" s="55" t="inlineStr">
        <is>
          <t>PAULO HENRIQUE</t>
        </is>
      </c>
      <c r="C8" s="194" t="n">
        <v>153</v>
      </c>
      <c r="D8" s="194" t="inlineStr">
        <is>
          <t>PG</t>
        </is>
      </c>
      <c r="E8" s="59">
        <f>E7/F2</f>
        <v/>
      </c>
      <c r="F8" s="53" t="n"/>
      <c r="G8" s="53" t="n"/>
      <c r="H8" s="53" t="n"/>
      <c r="I8" s="53" t="n"/>
      <c r="J8" s="53" t="n"/>
    </row>
    <row r="9" ht="15.6" customHeight="1">
      <c r="A9" s="54" t="n">
        <v>45306</v>
      </c>
      <c r="B9" s="55" t="inlineStr">
        <is>
          <t>MATEUS SEBASTIAO</t>
        </is>
      </c>
      <c r="C9" s="194" t="n">
        <v>143</v>
      </c>
      <c r="D9" s="194" t="inlineStr">
        <is>
          <t>PG</t>
        </is>
      </c>
      <c r="E9" s="53" t="n"/>
      <c r="F9" s="204" t="n"/>
      <c r="G9" s="53" t="n"/>
      <c r="H9" s="53" t="n"/>
      <c r="I9" s="53" t="n"/>
      <c r="J9" s="53" t="n"/>
    </row>
    <row r="10" ht="15.6" customHeight="1">
      <c r="A10" s="54" t="n">
        <v>45309</v>
      </c>
      <c r="B10" s="55" t="inlineStr">
        <is>
          <t>MACIEL CARDOSO</t>
        </is>
      </c>
      <c r="C10" s="194" t="n">
        <v>321</v>
      </c>
      <c r="D10" s="194" t="inlineStr">
        <is>
          <t>PG</t>
        </is>
      </c>
      <c r="E10" s="98" t="inlineStr">
        <is>
          <t>alcance</t>
        </is>
      </c>
      <c r="F10" s="98" t="inlineStr">
        <is>
          <t>RMK</t>
        </is>
      </c>
      <c r="G10" s="53" t="n"/>
      <c r="H10" s="53" t="n"/>
      <c r="I10" s="53" t="n"/>
      <c r="J10" s="53" t="n"/>
    </row>
    <row r="11" ht="15.6" customHeight="1">
      <c r="A11" s="54" t="n">
        <v>45313</v>
      </c>
      <c r="B11" s="55" t="inlineStr">
        <is>
          <t>GABRIEL CARDOSO</t>
        </is>
      </c>
      <c r="C11" s="194" t="n">
        <v>171</v>
      </c>
      <c r="D11" s="194" t="inlineStr">
        <is>
          <t>PG</t>
        </is>
      </c>
      <c r="E11" s="98" t="inlineStr">
        <is>
          <t>regiao</t>
        </is>
      </c>
      <c r="F11" s="98" t="inlineStr">
        <is>
          <t>PAGE VIEW ACESSORIOS 15D</t>
        </is>
      </c>
      <c r="G11" s="53" t="n"/>
      <c r="H11" s="53" t="n"/>
      <c r="I11" s="53" t="n"/>
      <c r="J11" s="53" t="n"/>
    </row>
    <row r="12" ht="15.6" customHeight="1">
      <c r="A12" s="54" t="n">
        <v>45317</v>
      </c>
      <c r="B12" s="55" t="inlineStr">
        <is>
          <t>CARLOS</t>
        </is>
      </c>
      <c r="C12" s="194" t="n">
        <v>171</v>
      </c>
      <c r="D12" s="194" t="inlineStr">
        <is>
          <t>PG</t>
        </is>
      </c>
      <c r="E12" s="98" t="inlineStr">
        <is>
          <t>produto campeao</t>
        </is>
      </c>
      <c r="F12" s="110" t="inlineStr">
        <is>
          <t>ADC AO CARRINHO 7D</t>
        </is>
      </c>
      <c r="G12" s="53" t="n"/>
      <c r="H12" s="53" t="n"/>
      <c r="I12" s="53" t="n"/>
      <c r="J12" s="53" t="n"/>
    </row>
    <row r="13" ht="15.6" customHeight="1">
      <c r="A13" s="54" t="n">
        <v>45318</v>
      </c>
      <c r="B13" s="55" t="inlineStr">
        <is>
          <t>RAPHAELA</t>
        </is>
      </c>
      <c r="C13" s="194" t="n">
        <v>621</v>
      </c>
      <c r="D13" s="194" t="inlineStr">
        <is>
          <t>PG</t>
        </is>
      </c>
      <c r="E13" s="98" t="n"/>
      <c r="F13" s="110" t="inlineStr">
        <is>
          <t>FINALIZA 7D</t>
        </is>
      </c>
      <c r="G13" s="53" t="n"/>
      <c r="H13" s="53" t="n"/>
      <c r="I13" s="53" t="n"/>
      <c r="J13" s="53" t="n"/>
    </row>
    <row r="14" ht="15.6" customHeight="1">
      <c r="A14" s="115" t="n">
        <v>45318</v>
      </c>
      <c r="B14" s="116" t="inlineStr">
        <is>
          <t>BENETIDO</t>
        </is>
      </c>
      <c r="C14" s="205" t="n">
        <v>1561</v>
      </c>
      <c r="D14" s="194" t="inlineStr">
        <is>
          <t>PG</t>
        </is>
      </c>
      <c r="E14" s="98" t="n">
        <v>3370</v>
      </c>
      <c r="F14" s="111" t="inlineStr">
        <is>
          <t>ENVOLV INSTA 30D</t>
        </is>
      </c>
      <c r="G14" s="53" t="n"/>
      <c r="H14" s="53" t="n"/>
      <c r="I14" s="53" t="n"/>
      <c r="J14" s="53" t="n"/>
    </row>
    <row r="15" ht="15.6" customHeight="1">
      <c r="A15" s="54" t="n">
        <v>45321</v>
      </c>
      <c r="B15" s="55" t="inlineStr">
        <is>
          <t>LAUREN</t>
        </is>
      </c>
      <c r="C15" s="194" t="n">
        <v>160</v>
      </c>
      <c r="D15" s="194" t="inlineStr">
        <is>
          <t>PG</t>
        </is>
      </c>
      <c r="E15" s="98" t="n">
        <v>2300</v>
      </c>
      <c r="F15" s="111" t="inlineStr">
        <is>
          <t>ENVOLV FACE 30D</t>
        </is>
      </c>
      <c r="G15" s="53" t="n"/>
      <c r="H15" s="53" t="n"/>
      <c r="I15" s="53" t="n"/>
      <c r="J15" s="53" t="n"/>
    </row>
    <row r="16" ht="15.6" customHeight="1">
      <c r="A16" s="54" t="n"/>
      <c r="B16" s="55" t="n"/>
      <c r="C16" s="194" t="n"/>
      <c r="D16" s="194" t="n"/>
      <c r="E16" s="98" t="n"/>
      <c r="F16" s="53" t="n"/>
      <c r="G16" s="53" t="n"/>
      <c r="H16" s="53" t="n"/>
      <c r="I16" s="53" t="n"/>
      <c r="J16" s="53" t="n"/>
    </row>
    <row r="17" ht="15.6" customHeight="1">
      <c r="A17" s="54" t="n"/>
      <c r="B17" s="55" t="n"/>
      <c r="C17" s="194" t="n"/>
      <c r="D17" s="194" t="n"/>
      <c r="E17" s="98" t="n"/>
      <c r="F17" s="53" t="n"/>
      <c r="G17" s="53" t="n"/>
      <c r="H17" s="53" t="n"/>
      <c r="I17" s="53" t="n"/>
      <c r="J17" s="53" t="n"/>
    </row>
    <row r="18" ht="15.6" customHeight="1">
      <c r="A18" s="54" t="n"/>
      <c r="B18" s="55" t="n"/>
      <c r="C18" s="194" t="n"/>
      <c r="D18" s="194" t="n"/>
      <c r="E18" s="98" t="n"/>
      <c r="F18" s="53" t="n"/>
      <c r="G18" s="53" t="n"/>
      <c r="H18" s="53" t="n"/>
      <c r="I18" s="53" t="n"/>
      <c r="J18" s="53" t="n"/>
    </row>
    <row r="19" ht="15.6" customHeight="1">
      <c r="A19" s="54" t="n"/>
      <c r="B19" s="55" t="n"/>
      <c r="C19" s="194" t="n"/>
      <c r="D19" s="194" t="n"/>
      <c r="E19" s="98" t="n"/>
      <c r="F19" s="53" t="n"/>
      <c r="G19" s="53" t="n"/>
      <c r="H19" s="53" t="n"/>
      <c r="I19" s="53" t="n"/>
      <c r="J19" s="53" t="n"/>
    </row>
    <row r="20" ht="15.6" customHeight="1">
      <c r="A20" s="54" t="n"/>
      <c r="B20" s="55" t="n"/>
      <c r="C20" s="194" t="n"/>
      <c r="D20" s="194" t="n"/>
      <c r="E20" s="98" t="n"/>
      <c r="F20" s="53" t="n"/>
      <c r="G20" s="53" t="n"/>
      <c r="H20" s="53" t="n"/>
      <c r="I20" s="53" t="n"/>
      <c r="J20" s="53" t="n"/>
    </row>
    <row r="21" ht="15.6" customHeight="1">
      <c r="A21" s="54" t="n"/>
      <c r="B21" s="55" t="n"/>
      <c r="C21" s="194" t="n"/>
      <c r="D21" s="194" t="n"/>
      <c r="E21" s="98" t="n"/>
      <c r="F21" s="98" t="inlineStr">
        <is>
          <t>HUMANIZAR A MARCA</t>
        </is>
      </c>
      <c r="G21" s="53" t="n"/>
      <c r="H21" s="53" t="n"/>
      <c r="I21" s="53" t="n"/>
      <c r="J21" s="53" t="n"/>
    </row>
    <row r="22" ht="15.6" customHeight="1">
      <c r="A22" s="54" t="n"/>
      <c r="B22" s="55" t="n"/>
      <c r="C22" s="194" t="n"/>
      <c r="D22" s="194" t="n"/>
      <c r="E22" s="53" t="n"/>
      <c r="F22" s="98" t="inlineStr">
        <is>
          <t>INTERACAO NOS STORYS</t>
        </is>
      </c>
      <c r="G22" s="53" t="n"/>
      <c r="H22" s="53" t="n"/>
      <c r="I22" s="53" t="n"/>
      <c r="J22" s="53" t="n"/>
    </row>
    <row r="23" ht="15.6" customHeight="1">
      <c r="A23" s="54" t="n"/>
      <c r="B23" s="55" t="n"/>
      <c r="C23" s="194" t="n"/>
      <c r="D23" s="194" t="n"/>
      <c r="E23" s="53" t="n"/>
      <c r="F23" s="53" t="n"/>
      <c r="G23" s="53" t="n"/>
      <c r="H23" s="53" t="n"/>
      <c r="I23" s="53" t="n"/>
      <c r="J23" s="53" t="n"/>
    </row>
    <row r="24" ht="15.6" customHeight="1">
      <c r="A24" s="54" t="n"/>
      <c r="B24" s="55" t="n"/>
      <c r="C24" s="194" t="n"/>
      <c r="D24" s="194" t="n"/>
      <c r="E24" s="53" t="n"/>
      <c r="F24" s="53" t="n"/>
      <c r="G24" s="53" t="n"/>
      <c r="H24" s="53" t="n"/>
      <c r="I24" s="53" t="n"/>
      <c r="J24" s="53" t="n"/>
    </row>
    <row r="25" ht="15.6" customHeight="1">
      <c r="A25" s="54" t="n"/>
      <c r="B25" s="55" t="n"/>
      <c r="C25" s="194" t="n"/>
      <c r="D25" s="194" t="n"/>
      <c r="E25" s="53" t="n"/>
      <c r="F25" s="53" t="n"/>
      <c r="G25" s="53" t="n"/>
      <c r="H25" s="53" t="n"/>
      <c r="I25" s="53" t="n"/>
      <c r="J25" s="53" t="n"/>
    </row>
    <row r="26" ht="15.6" customHeight="1">
      <c r="A26" s="54" t="n"/>
      <c r="B26" s="55" t="n"/>
      <c r="C26" s="194" t="n"/>
      <c r="D26" s="194" t="n"/>
      <c r="E26" s="53" t="n"/>
      <c r="F26" s="53" t="n"/>
      <c r="G26" s="53" t="n"/>
      <c r="H26" s="53" t="n"/>
      <c r="I26" s="53" t="n"/>
      <c r="J26" s="53" t="n"/>
    </row>
    <row r="27" ht="15.6" customHeight="1">
      <c r="A27" s="54" t="n"/>
      <c r="B27" s="55" t="n"/>
      <c r="C27" s="194" t="n"/>
      <c r="D27" s="194" t="n"/>
      <c r="E27" s="53" t="n"/>
      <c r="F27" s="53" t="n"/>
      <c r="G27" s="53" t="n"/>
      <c r="H27" s="53" t="n"/>
      <c r="I27" s="53" t="n"/>
      <c r="J27" s="53" t="n"/>
    </row>
    <row r="28" ht="15.6" customHeight="1">
      <c r="A28" s="54" t="n"/>
      <c r="B28" s="55" t="n"/>
      <c r="C28" s="194" t="n"/>
      <c r="D28" s="194" t="n"/>
      <c r="E28" s="53" t="n"/>
      <c r="F28" s="53" t="n"/>
      <c r="G28" s="53" t="n"/>
      <c r="H28" s="53" t="n"/>
      <c r="I28" s="53" t="n"/>
      <c r="J28" s="53" t="n"/>
    </row>
    <row r="29" ht="15.6" customHeight="1">
      <c r="A29" s="54" t="n"/>
      <c r="B29" s="55" t="n"/>
      <c r="C29" s="194" t="n"/>
      <c r="D29" s="194" t="n"/>
      <c r="E29" s="53" t="n"/>
      <c r="F29" s="53" t="n"/>
      <c r="G29" s="53" t="n"/>
      <c r="H29" s="53" t="n"/>
      <c r="I29" s="53" t="n"/>
      <c r="J29" s="53" t="n"/>
    </row>
    <row r="30" ht="15.6" customHeight="1">
      <c r="A30" s="54" t="n"/>
      <c r="B30" s="55" t="n"/>
      <c r="C30" s="194" t="n"/>
      <c r="D30" s="194" t="n"/>
      <c r="E30" s="53" t="n"/>
      <c r="F30" s="53" t="n"/>
      <c r="G30" s="53" t="n"/>
      <c r="H30" s="53" t="n"/>
      <c r="I30" s="53" t="n"/>
      <c r="J30" s="53" t="n"/>
    </row>
    <row r="31" ht="15.6" customHeight="1">
      <c r="A31" s="54" t="n"/>
      <c r="B31" s="55" t="n"/>
      <c r="C31" s="194" t="n"/>
      <c r="D31" s="194" t="n"/>
      <c r="E31" s="53" t="n"/>
      <c r="F31" s="53" t="n"/>
      <c r="G31" s="53" t="n"/>
      <c r="H31" s="53" t="n"/>
      <c r="I31" s="53" t="n"/>
      <c r="J31" s="53" t="n"/>
    </row>
    <row r="32" ht="15.6" customHeight="1">
      <c r="A32" s="54" t="n"/>
      <c r="B32" s="55" t="n"/>
      <c r="C32" s="194" t="n"/>
      <c r="D32" s="194" t="n"/>
      <c r="E32" s="53" t="n"/>
      <c r="F32" s="53" t="n"/>
      <c r="G32" s="53" t="n"/>
      <c r="H32" s="53" t="n"/>
      <c r="I32" s="53" t="n"/>
      <c r="J32" s="53" t="n"/>
    </row>
    <row r="33" ht="15.6" customHeight="1">
      <c r="A33" s="54" t="n"/>
      <c r="B33" s="55" t="n"/>
      <c r="C33" s="194" t="n"/>
      <c r="D33" s="194" t="n"/>
      <c r="E33" s="53" t="n"/>
      <c r="F33" s="53" t="n"/>
      <c r="G33" s="53" t="n"/>
      <c r="H33" s="53" t="n"/>
      <c r="I33" s="53" t="n"/>
      <c r="J33" s="53" t="n"/>
    </row>
    <row r="34" ht="15.6" customHeight="1">
      <c r="A34" s="54" t="n"/>
      <c r="B34" s="55" t="n"/>
      <c r="C34" s="194" t="n"/>
      <c r="D34" s="194" t="n"/>
      <c r="E34" s="53" t="n"/>
      <c r="F34" s="53" t="n"/>
      <c r="G34" s="53" t="n"/>
      <c r="H34" s="53" t="n"/>
      <c r="I34" s="53" t="n"/>
      <c r="J34" s="53" t="n"/>
    </row>
    <row r="35" ht="15.6" customHeight="1">
      <c r="A35" s="54" t="n"/>
      <c r="B35" s="55" t="n"/>
      <c r="C35" s="194" t="n"/>
      <c r="D35" s="194" t="n"/>
      <c r="E35" s="53" t="n"/>
      <c r="F35" s="53" t="n"/>
      <c r="G35" s="53" t="n"/>
      <c r="H35" s="53" t="n"/>
      <c r="I35" s="53" t="n"/>
      <c r="J35" s="53" t="n"/>
    </row>
    <row r="36" ht="15.6" customHeight="1">
      <c r="A36" s="54" t="n"/>
      <c r="B36" s="55" t="n"/>
      <c r="C36" s="194" t="n"/>
      <c r="D36" s="194" t="n"/>
      <c r="E36" s="53" t="n"/>
      <c r="F36" s="53" t="n"/>
      <c r="G36" s="53" t="n"/>
      <c r="H36" s="53" t="n"/>
      <c r="I36" s="53" t="n"/>
      <c r="J36" s="53" t="n"/>
    </row>
    <row r="37" ht="15.6" customHeight="1">
      <c r="A37" s="54" t="n"/>
      <c r="B37" s="55" t="n"/>
      <c r="C37" s="194" t="n"/>
      <c r="D37" s="194" t="n"/>
      <c r="E37" s="53" t="n"/>
      <c r="F37" s="53" t="n"/>
      <c r="G37" s="53" t="n"/>
      <c r="H37" s="53" t="n"/>
      <c r="I37" s="53" t="n"/>
      <c r="J37" s="53" t="n"/>
    </row>
    <row r="38" ht="15.6" customHeight="1">
      <c r="A38" s="54" t="n"/>
      <c r="B38" s="55" t="n"/>
      <c r="C38" s="194" t="n"/>
      <c r="D38" s="194" t="n"/>
      <c r="E38" s="53" t="n"/>
      <c r="F38" s="53" t="n"/>
      <c r="G38" s="53" t="n"/>
      <c r="H38" s="53" t="n"/>
      <c r="I38" s="53" t="n"/>
      <c r="J38" s="53" t="n"/>
    </row>
    <row r="39" ht="15.6" customHeight="1">
      <c r="A39" s="54" t="n"/>
      <c r="B39" s="55" t="n"/>
      <c r="C39" s="194" t="n"/>
      <c r="D39" s="194" t="n"/>
    </row>
    <row r="40" ht="15.6" customHeight="1">
      <c r="A40" s="54" t="n"/>
      <c r="B40" s="55" t="n"/>
      <c r="C40" s="194" t="n"/>
      <c r="D40" s="194" t="n"/>
    </row>
    <row r="41" ht="15.6" customHeight="1">
      <c r="A41" s="54" t="n"/>
      <c r="B41" s="55" t="n"/>
      <c r="C41" s="194" t="n"/>
      <c r="D41" s="194" t="n"/>
    </row>
    <row r="42" ht="15.6" customHeight="1">
      <c r="A42" s="54" t="n"/>
      <c r="B42" s="55" t="n"/>
      <c r="C42" s="194" t="n"/>
      <c r="D42" s="194" t="n"/>
    </row>
    <row r="43" ht="15.6" customHeight="1">
      <c r="A43" s="54" t="n"/>
      <c r="B43" s="55" t="n"/>
      <c r="C43" s="194" t="n"/>
      <c r="D43" s="194" t="n"/>
    </row>
    <row r="44" ht="15.6" customHeight="1">
      <c r="A44" s="54" t="n"/>
      <c r="B44" s="55" t="n"/>
      <c r="C44" s="194" t="n"/>
      <c r="D44" s="194" t="n"/>
    </row>
    <row r="45" ht="15.6" customHeight="1">
      <c r="A45" s="54" t="n"/>
      <c r="B45" s="55" t="n"/>
      <c r="C45" s="194" t="n"/>
      <c r="D45" s="194" t="n"/>
    </row>
    <row r="46" ht="15.6" customHeight="1">
      <c r="A46" s="54" t="n"/>
      <c r="B46" s="55" t="n"/>
      <c r="C46" s="194" t="n"/>
      <c r="D46" s="194" t="n"/>
    </row>
    <row r="47" ht="15.6" customHeight="1">
      <c r="A47" s="54" t="n"/>
      <c r="B47" s="55" t="n"/>
      <c r="C47" s="194" t="n"/>
      <c r="D47" s="194" t="n"/>
    </row>
    <row r="48" ht="15.6" customHeight="1">
      <c r="A48" s="54" t="n"/>
      <c r="B48" s="55" t="n"/>
      <c r="C48" s="194" t="n"/>
      <c r="D48" s="194" t="n"/>
    </row>
    <row r="49" ht="15.6" customHeight="1">
      <c r="A49" s="54" t="n"/>
      <c r="B49" s="55" t="n"/>
      <c r="C49" s="194" t="n"/>
      <c r="D49" s="194" t="n"/>
    </row>
  </sheetData>
  <mergeCells count="2">
    <mergeCell ref="E2:E3"/>
    <mergeCell ref="G6:H6"/>
  </mergeCells>
  <conditionalFormatting sqref="D2:D1048576">
    <cfRule type="containsText" priority="1" operator="containsText" dxfId="1" text="AG">
      <formula>NOT(ISERROR(SEARCH("AG",D2)))</formula>
    </cfRule>
    <cfRule type="containsText" priority="2" operator="containsText" dxfId="0" text="PG">
      <formula>NOT(ISERROR(SEARCH("PG",D2)))</formula>
    </cfRule>
  </conditionalFormatting>
  <dataValidations count="1">
    <dataValidation sqref="D2:D1048576" showDropDown="0" showInputMessage="1" showErrorMessage="1" allowBlank="1" type="list">
      <formula1>"PG,AG"</formula1>
    </dataValidation>
  </dataValidation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zoomScale="120" zoomScaleNormal="120" workbookViewId="0">
      <selection activeCell="F11" sqref="F11"/>
    </sheetView>
  </sheetViews>
  <sheetFormatPr baseColWidth="8" defaultRowHeight="14.4"/>
  <cols>
    <col width="17.44140625" customWidth="1" min="1" max="1"/>
    <col width="34.5546875" customWidth="1" min="2" max="2"/>
    <col width="15.88671875" customWidth="1" min="3" max="3"/>
    <col width="17.44140625" customWidth="1" min="4" max="4"/>
    <col width="40.44140625" customWidth="1" min="5" max="5"/>
    <col width="32.88671875" customWidth="1" min="6" max="6"/>
    <col width="18.33203125" bestFit="1" customWidth="1" min="7" max="8"/>
    <col width="27.6640625" bestFit="1" customWidth="1" min="9" max="9"/>
  </cols>
  <sheetData>
    <row r="1" ht="30" customFormat="1" customHeight="1" s="91">
      <c r="A1" s="83" t="inlineStr">
        <is>
          <t>DATA</t>
        </is>
      </c>
      <c r="B1" s="83" t="inlineStr">
        <is>
          <t>NOME</t>
        </is>
      </c>
      <c r="C1" s="193" t="inlineStr">
        <is>
          <t xml:space="preserve"> VALOR</t>
        </is>
      </c>
      <c r="D1" s="83" t="inlineStr">
        <is>
          <t>STATUS</t>
        </is>
      </c>
      <c r="E1" s="85" t="inlineStr">
        <is>
          <t>FAT. TOTAL</t>
        </is>
      </c>
      <c r="F1" s="86" t="inlineStr">
        <is>
          <t>INVEST.TOTAL</t>
        </is>
      </c>
      <c r="G1" s="87" t="inlineStr">
        <is>
          <t>FACEBOOK</t>
        </is>
      </c>
      <c r="H1" s="88" t="inlineStr">
        <is>
          <t>GOOGLE</t>
        </is>
      </c>
      <c r="I1" s="89" t="inlineStr">
        <is>
          <t>CUSTO PRODUTOS</t>
        </is>
      </c>
      <c r="J1" s="90" t="n"/>
    </row>
    <row r="2" ht="22.8" customHeight="1">
      <c r="A2" s="54" t="n">
        <v>45327</v>
      </c>
      <c r="B2" s="55" t="inlineStr">
        <is>
          <t>CLEUBER</t>
        </is>
      </c>
      <c r="C2" s="194" t="n">
        <v>309</v>
      </c>
      <c r="D2" s="194" t="inlineStr">
        <is>
          <t>PG</t>
        </is>
      </c>
      <c r="E2" s="195">
        <f>SUM(C1:C193)</f>
        <v/>
      </c>
      <c r="F2" s="196">
        <f>SUM(G2+H2)</f>
        <v/>
      </c>
      <c r="G2" s="197" t="n">
        <v>731</v>
      </c>
      <c r="H2" s="198" t="n">
        <v>500</v>
      </c>
      <c r="I2" s="199" t="n"/>
      <c r="J2" s="53" t="n"/>
    </row>
    <row r="3" ht="26.25" customHeight="1">
      <c r="A3" s="54" t="n">
        <v>45328</v>
      </c>
      <c r="B3" s="55" t="inlineStr">
        <is>
          <t>LEANDRO</t>
        </is>
      </c>
      <c r="C3" s="194" t="n">
        <v>285</v>
      </c>
      <c r="D3" s="194" t="inlineStr">
        <is>
          <t>PG</t>
        </is>
      </c>
      <c r="E3" s="200" t="n"/>
      <c r="F3" s="201" t="n"/>
      <c r="G3" s="201" t="n"/>
      <c r="H3" s="201" t="n"/>
      <c r="I3" s="53" t="n"/>
      <c r="J3" s="53" t="n"/>
    </row>
    <row r="4" ht="22.2" customHeight="1">
      <c r="A4" s="54" t="n">
        <v>45328</v>
      </c>
      <c r="B4" s="55" t="inlineStr">
        <is>
          <t>BARBARA</t>
        </is>
      </c>
      <c r="C4" s="194" t="n">
        <v>143</v>
      </c>
      <c r="D4" s="194" t="inlineStr">
        <is>
          <t>PG</t>
        </is>
      </c>
      <c r="E4" s="94" t="inlineStr">
        <is>
          <t>META</t>
        </is>
      </c>
      <c r="F4" s="95" t="inlineStr">
        <is>
          <t>3,5X ROI</t>
        </is>
      </c>
      <c r="G4" s="53" t="n"/>
      <c r="H4" s="53" t="n"/>
      <c r="I4" s="53" t="n"/>
      <c r="J4" s="53" t="n"/>
    </row>
    <row r="5" ht="15.6" customHeight="1">
      <c r="A5" s="54" t="n">
        <v>45329</v>
      </c>
      <c r="B5" s="55" t="inlineStr">
        <is>
          <t>GABRIEL</t>
        </is>
      </c>
      <c r="C5" s="194" t="n">
        <v>87</v>
      </c>
      <c r="D5" s="194" t="inlineStr">
        <is>
          <t>PG</t>
        </is>
      </c>
      <c r="E5" s="53" t="n"/>
      <c r="F5" s="53" t="n"/>
      <c r="G5" s="53" t="n"/>
      <c r="H5" s="53" t="n"/>
      <c r="I5" s="53" t="n"/>
      <c r="J5" s="53" t="n"/>
    </row>
    <row r="6" ht="16.8" customHeight="1">
      <c r="A6" s="54" t="n">
        <v>45329</v>
      </c>
      <c r="B6" s="55" t="inlineStr">
        <is>
          <t>JOAO PAULO</t>
        </is>
      </c>
      <c r="C6" s="194" t="n">
        <v>286</v>
      </c>
      <c r="D6" s="194" t="inlineStr">
        <is>
          <t>PG</t>
        </is>
      </c>
      <c r="E6" s="112" t="inlineStr">
        <is>
          <t xml:space="preserve"> LIQUIDO</t>
        </is>
      </c>
      <c r="F6" s="113" t="inlineStr">
        <is>
          <t>ROI ATUAL</t>
        </is>
      </c>
      <c r="G6" s="139" t="inlineStr">
        <is>
          <t>retorno sobre investimento</t>
        </is>
      </c>
      <c r="H6" s="202" t="n"/>
      <c r="I6" s="53" t="n"/>
      <c r="J6" s="53" t="n"/>
    </row>
    <row r="7" ht="22.2" customHeight="1">
      <c r="A7" s="54" t="n">
        <v>45330</v>
      </c>
      <c r="B7" s="55" t="inlineStr">
        <is>
          <t>ANDRE</t>
        </is>
      </c>
      <c r="C7" s="194" t="n">
        <v>159</v>
      </c>
      <c r="D7" s="194" t="inlineStr">
        <is>
          <t>PG</t>
        </is>
      </c>
      <c r="E7" s="203">
        <f>SUM(C2:C6,C7:C8,C9,C11:C13,C14:C23,C25,C27:C28,C35:C39,C41,C43:C48)</f>
        <v/>
      </c>
      <c r="F7" s="59">
        <f>E2/F2</f>
        <v/>
      </c>
      <c r="G7" s="53" t="n"/>
      <c r="H7" s="53" t="n"/>
      <c r="I7" s="53" t="n"/>
      <c r="J7" s="53" t="n"/>
    </row>
    <row r="8" ht="22.2" customHeight="1">
      <c r="A8" s="54" t="n">
        <v>45332</v>
      </c>
      <c r="B8" s="55" t="inlineStr">
        <is>
          <t>DANIELE</t>
        </is>
      </c>
      <c r="C8" s="194" t="n">
        <v>253</v>
      </c>
      <c r="D8" s="194" t="inlineStr">
        <is>
          <t>PG</t>
        </is>
      </c>
      <c r="E8" s="59">
        <f>E7/F2</f>
        <v/>
      </c>
      <c r="F8" s="53" t="n"/>
      <c r="G8" s="53" t="n"/>
      <c r="H8" s="53" t="n"/>
      <c r="I8" s="53" t="n"/>
      <c r="J8" s="53" t="n"/>
    </row>
    <row r="9" ht="15.6" customHeight="1">
      <c r="A9" s="54" t="n">
        <v>45333</v>
      </c>
      <c r="B9" s="55" t="inlineStr">
        <is>
          <t>PEDRO</t>
        </is>
      </c>
      <c r="C9" s="194" t="n">
        <v>172</v>
      </c>
      <c r="D9" s="194" t="inlineStr">
        <is>
          <t>AG</t>
        </is>
      </c>
      <c r="E9" s="53" t="n"/>
      <c r="F9" s="204" t="n"/>
      <c r="G9" s="53" t="n"/>
      <c r="H9" s="53" t="n"/>
      <c r="I9" s="53" t="n"/>
      <c r="J9" s="53" t="n"/>
    </row>
    <row r="10" ht="15.6" customHeight="1">
      <c r="A10" s="115" t="n">
        <v>45324</v>
      </c>
      <c r="B10" s="116" t="inlineStr">
        <is>
          <t>GUILHERME</t>
        </is>
      </c>
      <c r="C10" s="205" t="n">
        <v>397</v>
      </c>
      <c r="D10" s="194" t="inlineStr">
        <is>
          <t>PG</t>
        </is>
      </c>
      <c r="E10" s="98" t="inlineStr">
        <is>
          <t>alcance</t>
        </is>
      </c>
      <c r="F10" s="98" t="inlineStr">
        <is>
          <t>RMK</t>
        </is>
      </c>
      <c r="G10" s="53" t="n"/>
      <c r="H10" s="53" t="n"/>
      <c r="I10" s="53" t="n"/>
      <c r="J10" s="53" t="n"/>
    </row>
    <row r="11" ht="15.6" customHeight="1">
      <c r="A11" s="54" t="n">
        <v>45336</v>
      </c>
      <c r="B11" s="55" t="inlineStr">
        <is>
          <t>ANDRE GIL</t>
        </is>
      </c>
      <c r="C11" s="194" t="n">
        <v>105</v>
      </c>
      <c r="D11" s="194" t="inlineStr">
        <is>
          <t>PG</t>
        </is>
      </c>
      <c r="E11" s="98" t="inlineStr">
        <is>
          <t>regiao</t>
        </is>
      </c>
      <c r="F11" s="98" t="inlineStr">
        <is>
          <t>PAGE VIEW ACESSORIOS 15D</t>
        </is>
      </c>
      <c r="G11" s="53" t="n"/>
      <c r="H11" s="53" t="n"/>
      <c r="I11" s="53" t="n"/>
      <c r="J11" s="53" t="n"/>
    </row>
    <row r="12" ht="15.6" customHeight="1">
      <c r="A12" s="54" t="n">
        <v>45338</v>
      </c>
      <c r="B12" s="55" t="inlineStr">
        <is>
          <t>LUCAS</t>
        </is>
      </c>
      <c r="C12" s="194" t="n">
        <v>86</v>
      </c>
      <c r="D12" s="194" t="inlineStr">
        <is>
          <t>PG</t>
        </is>
      </c>
      <c r="E12" s="98" t="inlineStr">
        <is>
          <t>produto campeao</t>
        </is>
      </c>
      <c r="F12" s="110" t="inlineStr">
        <is>
          <t>ADC AO CARRINHO 7D</t>
        </is>
      </c>
      <c r="G12" s="53" t="n"/>
      <c r="H12" s="53" t="n"/>
      <c r="I12" s="53" t="n"/>
      <c r="J12" s="53" t="n"/>
    </row>
    <row r="13" ht="15.6" customHeight="1">
      <c r="A13" s="54" t="inlineStr">
        <is>
          <t>18/02/204</t>
        </is>
      </c>
      <c r="B13" s="55" t="inlineStr">
        <is>
          <t>LUCAS</t>
        </is>
      </c>
      <c r="C13" s="194" t="n">
        <v>90</v>
      </c>
      <c r="D13" s="194" t="inlineStr">
        <is>
          <t>PG</t>
        </is>
      </c>
      <c r="E13" s="98" t="n"/>
      <c r="F13" s="110" t="inlineStr">
        <is>
          <t>FINALIZA 7D</t>
        </is>
      </c>
      <c r="G13" s="53" t="n"/>
      <c r="H13" s="53" t="n"/>
      <c r="I13" s="53" t="n"/>
      <c r="J13" s="53" t="n"/>
    </row>
    <row r="14" ht="15.6" customHeight="1">
      <c r="A14" s="54" t="n">
        <v>45341</v>
      </c>
      <c r="B14" s="55" t="inlineStr">
        <is>
          <t>JOSE</t>
        </is>
      </c>
      <c r="C14" s="194" t="n">
        <v>324</v>
      </c>
      <c r="D14" s="194" t="inlineStr">
        <is>
          <t>PG</t>
        </is>
      </c>
      <c r="E14" s="98" t="n">
        <v>2684</v>
      </c>
      <c r="F14" s="111" t="inlineStr">
        <is>
          <t>ENVOLV INSTA 30D</t>
        </is>
      </c>
      <c r="G14" s="53" t="n"/>
      <c r="H14" s="53" t="n"/>
      <c r="I14" s="53" t="n"/>
      <c r="J14" s="53" t="n"/>
    </row>
    <row r="15" ht="15.6" customHeight="1">
      <c r="A15" s="54" t="n">
        <v>45342</v>
      </c>
      <c r="B15" s="55" t="inlineStr">
        <is>
          <t>WESLEY</t>
        </is>
      </c>
      <c r="C15" s="194" t="n">
        <v>75</v>
      </c>
      <c r="D15" s="194" t="inlineStr">
        <is>
          <t>PG</t>
        </is>
      </c>
      <c r="E15" s="98" t="n">
        <v>2696</v>
      </c>
      <c r="F15" s="111" t="inlineStr">
        <is>
          <t>ENVOLV FACE 30D</t>
        </is>
      </c>
      <c r="G15" s="53" t="n"/>
      <c r="H15" s="53" t="n"/>
      <c r="I15" s="53" t="n"/>
      <c r="J15" s="53" t="n"/>
    </row>
    <row r="16" ht="15.6" customHeight="1">
      <c r="A16" s="54" t="n">
        <v>45346</v>
      </c>
      <c r="B16" s="55" t="inlineStr">
        <is>
          <t>HYLARI</t>
        </is>
      </c>
      <c r="C16" s="194" t="n">
        <v>324</v>
      </c>
      <c r="D16" s="194" t="inlineStr">
        <is>
          <t>PG</t>
        </is>
      </c>
      <c r="E16" s="53" t="n"/>
      <c r="F16" s="53" t="n"/>
      <c r="G16" s="53" t="n"/>
      <c r="H16" s="53" t="n"/>
      <c r="I16" s="53" t="n"/>
      <c r="J16" s="53" t="n"/>
    </row>
    <row r="17" ht="15.6" customHeight="1">
      <c r="A17" s="54" t="n">
        <v>45348</v>
      </c>
      <c r="B17" s="55" t="inlineStr">
        <is>
          <t>LUIZ GUSTAVO</t>
        </is>
      </c>
      <c r="C17" s="194" t="n">
        <v>242</v>
      </c>
      <c r="D17" s="194" t="inlineStr">
        <is>
          <t>PG</t>
        </is>
      </c>
      <c r="E17" s="53" t="n"/>
      <c r="F17" s="53" t="n"/>
      <c r="G17" s="53" t="n"/>
      <c r="H17" s="53" t="n"/>
      <c r="I17" s="53" t="n"/>
      <c r="J17" s="53" t="n"/>
    </row>
    <row r="18" ht="15.6" customHeight="1">
      <c r="A18" s="54" t="n">
        <v>45350</v>
      </c>
      <c r="B18" s="55" t="inlineStr">
        <is>
          <t>LEONARDO</t>
        </is>
      </c>
      <c r="C18" s="194" t="n">
        <v>194</v>
      </c>
      <c r="D18" s="194" t="inlineStr">
        <is>
          <t>PG</t>
        </is>
      </c>
      <c r="E18" s="53" t="n">
        <v>1000</v>
      </c>
      <c r="F18" s="53" t="n"/>
      <c r="G18" s="53" t="n"/>
      <c r="H18" s="53" t="n"/>
      <c r="I18" s="53" t="n"/>
      <c r="J18" s="53" t="n"/>
    </row>
    <row r="19" ht="15.6" customHeight="1">
      <c r="A19" s="54" t="n"/>
      <c r="B19" s="55" t="n"/>
      <c r="C19" s="194" t="n"/>
      <c r="D19" s="194" t="n"/>
      <c r="E19" s="53" t="n">
        <v>751</v>
      </c>
      <c r="F19" s="53" t="n"/>
      <c r="G19" s="53" t="n"/>
      <c r="H19" s="53" t="n"/>
      <c r="I19" s="53" t="n"/>
      <c r="J19" s="53" t="n"/>
    </row>
    <row r="20" ht="15.6" customHeight="1">
      <c r="A20" s="54" t="n"/>
      <c r="B20" s="55" t="n"/>
      <c r="C20" s="194" t="n"/>
      <c r="D20" s="194" t="n"/>
      <c r="E20" s="53" t="inlineStr">
        <is>
          <t xml:space="preserve"> </t>
        </is>
      </c>
      <c r="F20" s="53" t="n"/>
      <c r="G20" s="53" t="n"/>
      <c r="H20" s="53" t="n"/>
      <c r="I20" s="53" t="n"/>
      <c r="J20" s="53" t="n"/>
    </row>
    <row r="21" ht="15.6" customHeight="1">
      <c r="A21" s="54" t="n"/>
      <c r="B21" s="55" t="n"/>
      <c r="C21" s="194" t="n"/>
      <c r="D21" s="194" t="n"/>
      <c r="E21" s="53" t="n"/>
      <c r="F21" s="98" t="inlineStr">
        <is>
          <t>HUMANIZAR A MARCA</t>
        </is>
      </c>
      <c r="G21" s="53" t="n"/>
      <c r="H21" s="53" t="n"/>
      <c r="I21" s="53" t="n"/>
      <c r="J21" s="53" t="n"/>
    </row>
    <row r="22" ht="15.6" customHeight="1">
      <c r="A22" s="54" t="n"/>
      <c r="B22" s="55" t="n"/>
      <c r="C22" s="194" t="n"/>
      <c r="D22" s="194" t="n"/>
      <c r="E22" s="53" t="n"/>
      <c r="F22" s="98" t="inlineStr">
        <is>
          <t>INTERACAO NOS STORYS</t>
        </is>
      </c>
      <c r="G22" s="53" t="n"/>
      <c r="H22" s="53" t="n"/>
      <c r="I22" s="53" t="n"/>
      <c r="J22" s="53" t="n"/>
    </row>
    <row r="23" ht="15.6" customHeight="1">
      <c r="A23" s="54" t="n"/>
      <c r="B23" s="55" t="n"/>
      <c r="C23" s="194" t="n"/>
      <c r="D23" s="194" t="n"/>
      <c r="E23" s="53" t="n"/>
      <c r="F23" s="53" t="n"/>
      <c r="G23" s="53" t="n"/>
      <c r="H23" s="53" t="n"/>
      <c r="I23" s="53" t="n"/>
      <c r="J23" s="53" t="n"/>
    </row>
    <row r="24" ht="15.6" customHeight="1">
      <c r="A24" s="54" t="n"/>
      <c r="B24" s="55" t="n"/>
      <c r="C24" s="194" t="n"/>
      <c r="D24" s="194" t="n"/>
      <c r="E24" s="53" t="n"/>
      <c r="F24" s="53" t="n"/>
      <c r="G24" s="53" t="n"/>
      <c r="H24" s="53" t="n"/>
      <c r="I24" s="53" t="n"/>
      <c r="J24" s="53" t="n"/>
    </row>
    <row r="25" ht="15.6" customHeight="1">
      <c r="A25" s="54" t="n"/>
      <c r="B25" s="55" t="n"/>
      <c r="C25" s="194" t="n"/>
      <c r="D25" s="194" t="n"/>
      <c r="E25" s="53" t="n"/>
      <c r="F25" s="53" t="n"/>
      <c r="G25" s="53" t="n"/>
      <c r="H25" s="53" t="n"/>
      <c r="I25" s="53" t="n"/>
      <c r="J25" s="53" t="n"/>
    </row>
    <row r="26" ht="15.6" customHeight="1">
      <c r="A26" s="54" t="n"/>
      <c r="B26" s="55" t="n"/>
      <c r="C26" s="194" t="n"/>
      <c r="D26" s="194" t="n"/>
      <c r="E26" s="53" t="n"/>
      <c r="F26" s="53" t="n"/>
      <c r="G26" s="53" t="n"/>
      <c r="H26" s="53" t="n"/>
      <c r="I26" s="53" t="n"/>
      <c r="J26" s="53" t="n"/>
    </row>
    <row r="27" ht="15.6" customHeight="1">
      <c r="A27" s="54" t="n"/>
      <c r="B27" s="55" t="n"/>
      <c r="C27" s="194" t="n"/>
      <c r="D27" s="194" t="n"/>
      <c r="E27" s="53" t="n"/>
      <c r="F27" s="53" t="n"/>
      <c r="G27" s="53" t="n"/>
      <c r="H27" s="53" t="n"/>
      <c r="I27" s="53" t="n"/>
      <c r="J27" s="53" t="n"/>
    </row>
    <row r="28" ht="15.6" customHeight="1">
      <c r="A28" s="54" t="n"/>
      <c r="B28" s="55" t="n"/>
      <c r="C28" s="194" t="n"/>
      <c r="D28" s="194" t="n"/>
      <c r="E28" s="53" t="n"/>
      <c r="F28" s="53" t="n"/>
      <c r="G28" s="53" t="n"/>
      <c r="H28" s="53" t="n"/>
      <c r="I28" s="53" t="n"/>
      <c r="J28" s="53" t="n"/>
    </row>
    <row r="29" ht="15.6" customHeight="1">
      <c r="A29" s="54" t="n"/>
      <c r="B29" s="55" t="n"/>
      <c r="C29" s="194" t="n"/>
      <c r="D29" s="194" t="n"/>
      <c r="E29" s="53" t="n"/>
      <c r="F29" s="53" t="n"/>
      <c r="G29" s="53" t="n"/>
      <c r="H29" s="53" t="n"/>
      <c r="I29" s="53" t="n"/>
      <c r="J29" s="53" t="n"/>
    </row>
    <row r="30" ht="15.6" customHeight="1">
      <c r="A30" s="54" t="n"/>
      <c r="B30" s="55" t="n"/>
      <c r="C30" s="194" t="n"/>
      <c r="D30" s="194" t="n"/>
      <c r="E30" s="53" t="n"/>
      <c r="F30" s="53" t="n"/>
      <c r="G30" s="53" t="n"/>
      <c r="H30" s="53" t="n"/>
      <c r="I30" s="53" t="n"/>
      <c r="J30" s="53" t="n"/>
    </row>
    <row r="31" ht="15.6" customHeight="1">
      <c r="A31" s="54" t="n"/>
      <c r="B31" s="55" t="n"/>
      <c r="C31" s="194" t="n"/>
      <c r="D31" s="194" t="n"/>
      <c r="E31" s="53" t="n"/>
      <c r="F31" s="53" t="n"/>
      <c r="G31" s="53" t="n"/>
      <c r="H31" s="53" t="n"/>
      <c r="I31" s="53" t="n"/>
      <c r="J31" s="53" t="n"/>
    </row>
    <row r="32" ht="15.6" customHeight="1">
      <c r="A32" s="54" t="n"/>
      <c r="B32" s="55" t="n"/>
      <c r="C32" s="194" t="n"/>
      <c r="D32" s="194" t="n"/>
      <c r="E32" s="53" t="n"/>
      <c r="F32" s="53" t="n"/>
      <c r="G32" s="53" t="n"/>
      <c r="H32" s="53" t="n"/>
      <c r="I32" s="53" t="n"/>
      <c r="J32" s="53" t="n"/>
    </row>
    <row r="33" ht="15.6" customHeight="1">
      <c r="A33" s="54" t="n"/>
      <c r="B33" s="55" t="n"/>
      <c r="C33" s="194" t="n"/>
      <c r="D33" s="194" t="n"/>
      <c r="E33" s="53" t="n"/>
      <c r="F33" s="53" t="n"/>
      <c r="G33" s="53" t="n"/>
      <c r="H33" s="53" t="n"/>
      <c r="I33" s="53" t="n"/>
      <c r="J33" s="53" t="n"/>
    </row>
    <row r="34" ht="15.6" customHeight="1">
      <c r="A34" s="54" t="n"/>
      <c r="B34" s="55" t="n"/>
      <c r="C34" s="194" t="n"/>
      <c r="D34" s="194" t="n"/>
      <c r="E34" s="53" t="n"/>
      <c r="F34" s="53" t="n"/>
      <c r="G34" s="53" t="n"/>
      <c r="H34" s="53" t="n"/>
      <c r="I34" s="53" t="n"/>
      <c r="J34" s="53" t="n"/>
    </row>
    <row r="35" ht="15.6" customHeight="1">
      <c r="A35" s="54" t="n"/>
      <c r="B35" s="55" t="n"/>
      <c r="C35" s="194" t="n"/>
      <c r="D35" s="194" t="n"/>
      <c r="E35" s="53" t="n"/>
      <c r="F35" s="53" t="n"/>
      <c r="G35" s="53" t="n"/>
      <c r="H35" s="53" t="n"/>
      <c r="I35" s="53" t="n"/>
      <c r="J35" s="53" t="n"/>
    </row>
    <row r="36" ht="15.6" customHeight="1">
      <c r="A36" s="54" t="n"/>
      <c r="B36" s="55" t="n"/>
      <c r="C36" s="194" t="n"/>
      <c r="D36" s="194" t="n"/>
      <c r="E36" s="53" t="n"/>
      <c r="F36" s="53" t="n"/>
      <c r="G36" s="53" t="n"/>
      <c r="H36" s="53" t="n"/>
      <c r="I36" s="53" t="n"/>
      <c r="J36" s="53" t="n"/>
    </row>
    <row r="37" ht="15.6" customHeight="1">
      <c r="A37" s="54" t="n"/>
      <c r="B37" s="55" t="n"/>
      <c r="C37" s="194" t="n"/>
      <c r="D37" s="194" t="n"/>
      <c r="E37" s="53" t="n"/>
      <c r="F37" s="53" t="n"/>
      <c r="G37" s="53" t="n"/>
      <c r="H37" s="53" t="n"/>
      <c r="I37" s="53" t="n"/>
      <c r="J37" s="53" t="n"/>
    </row>
    <row r="38" ht="15.6" customHeight="1">
      <c r="A38" s="54" t="n"/>
      <c r="B38" s="55" t="n"/>
      <c r="C38" s="194" t="n"/>
      <c r="D38" s="194" t="n"/>
      <c r="E38" s="53" t="n"/>
      <c r="F38" s="53" t="n"/>
      <c r="G38" s="53" t="n"/>
      <c r="H38" s="53" t="n"/>
      <c r="I38" s="53" t="n"/>
      <c r="J38" s="53" t="n"/>
    </row>
    <row r="39" ht="15.6" customHeight="1">
      <c r="A39" s="54" t="n"/>
      <c r="B39" s="55" t="n"/>
      <c r="C39" s="194" t="n"/>
      <c r="D39" s="194" t="n"/>
    </row>
    <row r="40" ht="15.6" customHeight="1">
      <c r="A40" s="54" t="n"/>
      <c r="B40" s="55" t="n"/>
      <c r="C40" s="194" t="n"/>
      <c r="D40" s="194" t="n"/>
    </row>
    <row r="41" ht="15.6" customHeight="1">
      <c r="A41" s="54" t="n"/>
      <c r="B41" s="55" t="n"/>
      <c r="C41" s="194" t="n"/>
      <c r="D41" s="194" t="n"/>
    </row>
    <row r="42" ht="15.6" customHeight="1">
      <c r="A42" s="54" t="n"/>
      <c r="B42" s="55" t="n"/>
      <c r="C42" s="194" t="n"/>
      <c r="D42" s="194" t="n"/>
    </row>
    <row r="43" ht="15.6" customHeight="1">
      <c r="A43" s="54" t="n"/>
      <c r="B43" s="55" t="n"/>
      <c r="C43" s="194" t="n"/>
      <c r="D43" s="194" t="n"/>
    </row>
    <row r="44" ht="15.6" customHeight="1">
      <c r="A44" s="54" t="n"/>
      <c r="B44" s="55" t="n"/>
      <c r="C44" s="194" t="n"/>
      <c r="D44" s="194" t="n"/>
    </row>
    <row r="45" ht="15.6" customHeight="1">
      <c r="A45" s="54" t="n"/>
      <c r="B45" s="55" t="n"/>
      <c r="C45" s="194" t="n"/>
      <c r="D45" s="194" t="n"/>
    </row>
    <row r="46" ht="15.6" customHeight="1">
      <c r="A46" s="54" t="n"/>
      <c r="B46" s="55" t="n"/>
      <c r="C46" s="194" t="n"/>
      <c r="D46" s="194" t="n"/>
    </row>
    <row r="47" ht="15.6" customHeight="1">
      <c r="A47" s="54" t="n"/>
      <c r="B47" s="55" t="n"/>
      <c r="C47" s="194" t="n"/>
      <c r="D47" s="194" t="n"/>
    </row>
    <row r="48" ht="15.6" customHeight="1">
      <c r="A48" s="54" t="n"/>
      <c r="B48" s="55" t="n"/>
      <c r="C48" s="194" t="n"/>
      <c r="D48" s="194" t="n"/>
    </row>
    <row r="49" ht="15.6" customHeight="1">
      <c r="A49" s="54" t="n"/>
      <c r="B49" s="55" t="n"/>
      <c r="C49" s="194" t="n"/>
      <c r="D49" s="194" t="n"/>
    </row>
  </sheetData>
  <mergeCells count="2">
    <mergeCell ref="E2:E3"/>
    <mergeCell ref="G6:H6"/>
  </mergeCells>
  <conditionalFormatting sqref="D2:D1048576">
    <cfRule type="containsText" priority="1" operator="containsText" dxfId="1" text="AG">
      <formula>NOT(ISERROR(SEARCH("AG",D2)))</formula>
    </cfRule>
    <cfRule type="containsText" priority="2" operator="containsText" dxfId="0" text="PG">
      <formula>NOT(ISERROR(SEARCH("PG",D2)))</formula>
    </cfRule>
  </conditionalFormatting>
  <dataValidations count="1">
    <dataValidation sqref="D2:D1048576" showDropDown="0" showInputMessage="1" showErrorMessage="1" allowBlank="1" type="list">
      <formula1>"PG,AG"</formula1>
    </dataValidation>
  </dataValidations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topLeftCell="A4" zoomScale="120" zoomScaleNormal="120" workbookViewId="0">
      <selection activeCell="E12" sqref="E12"/>
    </sheetView>
  </sheetViews>
  <sheetFormatPr baseColWidth="8" defaultRowHeight="14.4"/>
  <cols>
    <col width="17.44140625" customWidth="1" min="1" max="1"/>
    <col width="34.5546875" customWidth="1" min="2" max="2"/>
    <col width="15.88671875" customWidth="1" min="3" max="3"/>
    <col width="17.44140625" customWidth="1" min="4" max="4"/>
    <col width="40.44140625" customWidth="1" min="5" max="5"/>
    <col width="32.88671875" customWidth="1" min="6" max="6"/>
    <col width="18.33203125" bestFit="1" customWidth="1" min="7" max="8"/>
    <col width="27.6640625" bestFit="1" customWidth="1" min="9" max="9"/>
  </cols>
  <sheetData>
    <row r="1" ht="30" customFormat="1" customHeight="1" s="91">
      <c r="A1" s="83" t="inlineStr">
        <is>
          <t>DATA</t>
        </is>
      </c>
      <c r="B1" s="83" t="inlineStr">
        <is>
          <t>NOME</t>
        </is>
      </c>
      <c r="C1" s="193" t="inlineStr">
        <is>
          <t xml:space="preserve"> VALOR</t>
        </is>
      </c>
      <c r="D1" s="83" t="inlineStr">
        <is>
          <t>STATUS</t>
        </is>
      </c>
      <c r="E1" s="85" t="inlineStr">
        <is>
          <t>FAT. TOTAL</t>
        </is>
      </c>
      <c r="F1" s="86" t="inlineStr">
        <is>
          <t>INVEST.TOTAL</t>
        </is>
      </c>
      <c r="G1" s="87" t="inlineStr">
        <is>
          <t>FACEBOOK</t>
        </is>
      </c>
      <c r="H1" s="88" t="inlineStr">
        <is>
          <t>GOOGLE</t>
        </is>
      </c>
      <c r="I1" s="89" t="inlineStr">
        <is>
          <t>CUSTO PRODUTOS</t>
        </is>
      </c>
      <c r="J1" s="90" t="n"/>
    </row>
    <row r="2" ht="22.8" customHeight="1">
      <c r="A2" s="54" t="n">
        <v>45352</v>
      </c>
      <c r="B2" s="55" t="inlineStr">
        <is>
          <t>RAFAEL</t>
        </is>
      </c>
      <c r="C2" s="194" t="n">
        <v>1386</v>
      </c>
      <c r="D2" s="194" t="inlineStr">
        <is>
          <t>PG</t>
        </is>
      </c>
      <c r="E2" s="195">
        <f>SUM(C1:C193)</f>
        <v/>
      </c>
      <c r="F2" s="196">
        <f>SUM(G2+H2)</f>
        <v/>
      </c>
      <c r="G2" s="197" t="n"/>
      <c r="H2" s="198" t="n"/>
      <c r="I2" s="199" t="n"/>
      <c r="J2" s="53" t="n"/>
    </row>
    <row r="3" ht="26.25" customHeight="1">
      <c r="A3" s="54" t="n">
        <v>45352</v>
      </c>
      <c r="B3" s="55" t="inlineStr">
        <is>
          <t>LUIZ GUSTAVO</t>
        </is>
      </c>
      <c r="C3" s="194" t="n">
        <v>189</v>
      </c>
      <c r="D3" s="194" t="inlineStr">
        <is>
          <t>PG</t>
        </is>
      </c>
      <c r="E3" s="200" t="n"/>
      <c r="F3" s="201" t="n"/>
      <c r="G3" s="201" t="n"/>
      <c r="H3" s="201" t="n"/>
      <c r="I3" s="53" t="n"/>
      <c r="J3" s="53" t="n"/>
    </row>
    <row r="4" ht="22.2" customHeight="1">
      <c r="A4" s="54" t="n">
        <v>45355</v>
      </c>
      <c r="B4" s="55" t="inlineStr">
        <is>
          <t>LUIZ FELIPE</t>
        </is>
      </c>
      <c r="C4" s="194" t="n">
        <v>2250</v>
      </c>
      <c r="D4" s="194" t="inlineStr">
        <is>
          <t>PG</t>
        </is>
      </c>
      <c r="E4" s="94" t="inlineStr">
        <is>
          <t>META</t>
        </is>
      </c>
      <c r="F4" s="95" t="inlineStr">
        <is>
          <t>3,5X ROI</t>
        </is>
      </c>
      <c r="G4" s="53" t="n"/>
      <c r="H4" s="53" t="n"/>
      <c r="I4" s="53" t="n"/>
      <c r="J4" s="53" t="n"/>
    </row>
    <row r="5" ht="15.6" customHeight="1">
      <c r="A5" s="54" t="n">
        <v>45356</v>
      </c>
      <c r="B5" s="55" t="inlineStr">
        <is>
          <t>FELIPE</t>
        </is>
      </c>
      <c r="C5" s="194" t="n">
        <v>90</v>
      </c>
      <c r="D5" s="194" t="inlineStr">
        <is>
          <t>PG</t>
        </is>
      </c>
      <c r="E5" s="53" t="n"/>
      <c r="F5" s="53" t="n"/>
      <c r="G5" s="53" t="n"/>
      <c r="H5" s="53" t="n"/>
      <c r="I5" s="53" t="n"/>
      <c r="J5" s="53" t="n"/>
    </row>
    <row r="6" ht="16.8" customHeight="1">
      <c r="A6" s="54" t="n">
        <v>45357</v>
      </c>
      <c r="B6" s="55" t="inlineStr">
        <is>
          <t>FABRICIO</t>
        </is>
      </c>
      <c r="C6" s="194" t="n">
        <v>170</v>
      </c>
      <c r="D6" s="194" t="inlineStr">
        <is>
          <t>PG</t>
        </is>
      </c>
      <c r="E6" s="112" t="inlineStr">
        <is>
          <t xml:space="preserve"> LIQUIDO</t>
        </is>
      </c>
      <c r="F6" s="113" t="inlineStr">
        <is>
          <t>ROI ATUAL</t>
        </is>
      </c>
      <c r="G6" s="139" t="inlineStr">
        <is>
          <t>retorno sobre investimento</t>
        </is>
      </c>
      <c r="H6" s="202" t="n"/>
      <c r="I6" s="53" t="n"/>
      <c r="J6" s="53" t="n"/>
    </row>
    <row r="7" ht="22.2" customHeight="1">
      <c r="A7" s="54" t="n">
        <v>45363</v>
      </c>
      <c r="B7" s="55" t="inlineStr">
        <is>
          <t>HARRISON</t>
        </is>
      </c>
      <c r="C7" s="194" t="n">
        <v>286</v>
      </c>
      <c r="D7" s="194" t="inlineStr">
        <is>
          <t>PG</t>
        </is>
      </c>
      <c r="E7" s="203">
        <f>SUM(C2:C6,C7,C8:C10,C11:C13,C14:C23,C25,C27:C28,C35:C39,C41,C43:C48)</f>
        <v/>
      </c>
      <c r="F7" s="59">
        <f>E2/F2</f>
        <v/>
      </c>
      <c r="G7" s="53" t="n"/>
      <c r="H7" s="53" t="n"/>
      <c r="I7" s="53" t="n"/>
      <c r="J7" s="53" t="n"/>
    </row>
    <row r="8" ht="22.2" customHeight="1">
      <c r="A8" s="54" t="n">
        <v>45363</v>
      </c>
      <c r="B8" s="55" t="inlineStr">
        <is>
          <t>MARIA CLARA</t>
        </is>
      </c>
      <c r="C8" s="194" t="n">
        <v>1062</v>
      </c>
      <c r="D8" s="194" t="inlineStr">
        <is>
          <t>PG</t>
        </is>
      </c>
      <c r="E8" s="59">
        <f>E7/F2</f>
        <v/>
      </c>
      <c r="F8" s="53" t="n"/>
      <c r="G8" s="53" t="n"/>
      <c r="H8" s="53" t="n"/>
      <c r="I8" s="53" t="n"/>
      <c r="J8" s="53" t="n"/>
    </row>
    <row r="9" ht="15.6" customHeight="1">
      <c r="A9" s="54" t="n">
        <v>45364</v>
      </c>
      <c r="B9" s="55" t="inlineStr">
        <is>
          <t>DIOGO</t>
        </is>
      </c>
      <c r="C9" s="194" t="n">
        <v>172</v>
      </c>
      <c r="D9" s="194" t="inlineStr">
        <is>
          <t>PG</t>
        </is>
      </c>
      <c r="E9" s="53" t="n"/>
      <c r="F9" s="204" t="n"/>
      <c r="G9" s="53" t="n"/>
      <c r="H9" s="53" t="n"/>
      <c r="I9" s="53" t="n"/>
      <c r="J9" s="53" t="n"/>
    </row>
    <row r="10" ht="15.6" customHeight="1">
      <c r="A10" s="54" t="n">
        <v>45366</v>
      </c>
      <c r="B10" s="55" t="inlineStr">
        <is>
          <t>RENAN</t>
        </is>
      </c>
      <c r="C10" s="194" t="n">
        <v>318</v>
      </c>
      <c r="D10" s="194" t="inlineStr">
        <is>
          <t>PG</t>
        </is>
      </c>
      <c r="E10" s="98" t="inlineStr">
        <is>
          <t>alcance</t>
        </is>
      </c>
      <c r="F10" s="98" t="inlineStr">
        <is>
          <t>RMK</t>
        </is>
      </c>
      <c r="G10" s="53" t="n"/>
      <c r="H10" s="53" t="n"/>
      <c r="I10" s="53" t="n"/>
      <c r="J10" s="53" t="n"/>
    </row>
    <row r="11" ht="15.6" customHeight="1">
      <c r="A11" s="121" t="n">
        <v>45369</v>
      </c>
      <c r="B11" s="122" t="inlineStr">
        <is>
          <t>LUAN</t>
        </is>
      </c>
      <c r="C11" s="206" t="n"/>
      <c r="D11" s="206" t="inlineStr">
        <is>
          <t>AG</t>
        </is>
      </c>
      <c r="E11" s="98" t="inlineStr">
        <is>
          <t>regiao</t>
        </is>
      </c>
      <c r="F11" s="98" t="inlineStr">
        <is>
          <t>PAGE VIEW ACESSORIOS 15D</t>
        </is>
      </c>
      <c r="G11" s="53" t="n"/>
      <c r="H11" s="53" t="n"/>
      <c r="I11" s="53" t="n"/>
      <c r="J11" s="53" t="n"/>
    </row>
    <row r="12" ht="15.6" customHeight="1">
      <c r="A12" s="54" t="n">
        <v>45369</v>
      </c>
      <c r="B12" s="55" t="inlineStr">
        <is>
          <t>OTAVIO</t>
        </is>
      </c>
      <c r="C12" s="194" t="n">
        <v>165</v>
      </c>
      <c r="D12" s="194" t="inlineStr">
        <is>
          <t>PG</t>
        </is>
      </c>
      <c r="E12" s="98" t="inlineStr">
        <is>
          <t>produto campeao</t>
        </is>
      </c>
      <c r="F12" s="110" t="inlineStr">
        <is>
          <t>ADC AO CARRINHO 7D</t>
        </is>
      </c>
      <c r="G12" s="53" t="n"/>
      <c r="H12" s="53" t="n"/>
      <c r="I12" s="53" t="n"/>
      <c r="J12" s="53" t="n"/>
    </row>
    <row r="13" ht="15.6" customHeight="1">
      <c r="A13" s="54" t="n">
        <v>45371</v>
      </c>
      <c r="B13" s="55" t="inlineStr">
        <is>
          <t>ANDREY</t>
        </is>
      </c>
      <c r="C13" s="194" t="n">
        <v>289</v>
      </c>
      <c r="D13" s="194" t="inlineStr">
        <is>
          <t>PG</t>
        </is>
      </c>
      <c r="E13" s="98" t="n"/>
      <c r="F13" s="110" t="inlineStr">
        <is>
          <t>FINALIZA 7D</t>
        </is>
      </c>
      <c r="G13" s="53" t="n"/>
      <c r="H13" s="53" t="n"/>
      <c r="I13" s="53" t="n"/>
      <c r="J13" s="53" t="n"/>
    </row>
    <row r="14" ht="15.6" customHeight="1">
      <c r="A14" s="54" t="n">
        <v>45373</v>
      </c>
      <c r="B14" s="55" t="inlineStr">
        <is>
          <t>CARLOS</t>
        </is>
      </c>
      <c r="C14" s="194" t="n">
        <v>406</v>
      </c>
      <c r="D14" s="194" t="inlineStr">
        <is>
          <t>PG</t>
        </is>
      </c>
      <c r="E14" s="53" t="n"/>
      <c r="F14" s="111" t="inlineStr">
        <is>
          <t>ENVOLV INSTA 30D</t>
        </is>
      </c>
      <c r="G14" s="53" t="n"/>
      <c r="H14" s="53" t="n"/>
      <c r="I14" s="53" t="n"/>
      <c r="J14" s="53" t="n"/>
    </row>
    <row r="15" ht="15.6" customHeight="1">
      <c r="A15" s="54" t="n">
        <v>45373</v>
      </c>
      <c r="B15" s="55" t="inlineStr">
        <is>
          <t>FLAVIA</t>
        </is>
      </c>
      <c r="C15" s="194" t="n">
        <v>159</v>
      </c>
      <c r="D15" s="194" t="inlineStr">
        <is>
          <t>PG</t>
        </is>
      </c>
      <c r="E15" s="53" t="n"/>
      <c r="F15" s="111" t="inlineStr">
        <is>
          <t>ENVOLV FACE 30D</t>
        </is>
      </c>
      <c r="G15" s="53" t="n"/>
      <c r="H15" s="53" t="n"/>
      <c r="I15" s="53" t="n"/>
      <c r="J15" s="53" t="n"/>
    </row>
    <row r="16" ht="15.6" customHeight="1">
      <c r="A16" s="54" t="n">
        <v>45377</v>
      </c>
      <c r="B16" s="55" t="inlineStr">
        <is>
          <t>ANA  LAURA</t>
        </is>
      </c>
      <c r="C16" s="194" t="n">
        <v>309</v>
      </c>
      <c r="D16" s="194" t="inlineStr">
        <is>
          <t>PG</t>
        </is>
      </c>
      <c r="E16" s="53" t="n"/>
      <c r="F16" s="53" t="n"/>
      <c r="G16" s="53" t="n"/>
      <c r="H16" s="53" t="n"/>
      <c r="I16" s="53" t="n"/>
      <c r="J16" s="53" t="n"/>
    </row>
    <row r="17" ht="15.6" customHeight="1">
      <c r="A17" s="54" t="n">
        <v>45379</v>
      </c>
      <c r="B17" s="55" t="inlineStr">
        <is>
          <t>CAIO MUSCA</t>
        </is>
      </c>
      <c r="C17" s="194" t="n">
        <v>159</v>
      </c>
      <c r="D17" s="194" t="inlineStr">
        <is>
          <t>PG</t>
        </is>
      </c>
      <c r="E17" s="53" t="n"/>
      <c r="F17" s="53" t="n"/>
      <c r="G17" s="53" t="n"/>
      <c r="H17" s="53" t="n"/>
      <c r="I17" s="53" t="n"/>
      <c r="J17" s="53" t="n"/>
    </row>
    <row r="18" ht="15.6" customHeight="1">
      <c r="A18" s="54" t="n"/>
      <c r="B18" s="55" t="n"/>
      <c r="C18" s="194" t="n"/>
      <c r="D18" s="194" t="n"/>
      <c r="E18" s="53" t="n">
        <v>1159</v>
      </c>
      <c r="F18" s="53" t="n"/>
      <c r="G18" s="53" t="n"/>
      <c r="H18" s="53" t="n"/>
      <c r="I18" s="53" t="n"/>
      <c r="J18" s="53" t="n"/>
    </row>
    <row r="19" ht="15.6" customHeight="1">
      <c r="A19" s="54" t="n"/>
      <c r="B19" s="55" t="n"/>
      <c r="C19" s="194" t="n"/>
      <c r="D19" s="194" t="n"/>
      <c r="E19" s="53" t="n">
        <v>6377</v>
      </c>
      <c r="F19" s="53" t="n"/>
      <c r="G19" s="53" t="n"/>
      <c r="H19" s="53" t="n"/>
      <c r="I19" s="53" t="n"/>
      <c r="J19" s="53" t="n"/>
    </row>
    <row r="20" ht="15.6" customHeight="1">
      <c r="A20" s="54" t="n"/>
      <c r="B20" s="55" t="n"/>
      <c r="C20" s="194" t="n"/>
      <c r="D20" s="194" t="n"/>
      <c r="E20" s="53" t="inlineStr">
        <is>
          <t xml:space="preserve"> </t>
        </is>
      </c>
      <c r="F20" s="53" t="n"/>
      <c r="G20" s="53" t="n"/>
      <c r="H20" s="53" t="n"/>
      <c r="I20" s="53" t="n"/>
      <c r="J20" s="53" t="n"/>
    </row>
    <row r="21" ht="15.6" customHeight="1">
      <c r="A21" s="54" t="n"/>
      <c r="B21" s="55" t="n"/>
      <c r="C21" s="194" t="n"/>
      <c r="D21" s="194" t="n"/>
      <c r="E21" s="53" t="n"/>
      <c r="F21" s="98" t="inlineStr">
        <is>
          <t>HUMANIZAR A MARCA</t>
        </is>
      </c>
      <c r="G21" s="53" t="n"/>
      <c r="H21" s="53" t="n"/>
      <c r="I21" s="53" t="n"/>
      <c r="J21" s="53" t="n"/>
    </row>
    <row r="22" ht="15.6" customHeight="1">
      <c r="A22" s="54" t="n"/>
      <c r="B22" s="55" t="n"/>
      <c r="C22" s="194" t="n"/>
      <c r="D22" s="194" t="n"/>
      <c r="E22" s="53" t="n"/>
      <c r="F22" s="98" t="inlineStr">
        <is>
          <t>INTERACAO NOS STORYS</t>
        </is>
      </c>
      <c r="G22" s="53" t="n"/>
      <c r="H22" s="53" t="n"/>
      <c r="I22" s="53" t="n"/>
      <c r="J22" s="53" t="n"/>
    </row>
    <row r="23" ht="15.6" customHeight="1">
      <c r="A23" s="54" t="n"/>
      <c r="B23" s="55" t="n"/>
      <c r="C23" s="194" t="n"/>
      <c r="D23" s="194" t="n"/>
      <c r="E23" s="53" t="n">
        <v>509</v>
      </c>
      <c r="F23" s="53" t="n"/>
      <c r="G23" s="53" t="n"/>
      <c r="H23" s="53" t="n"/>
      <c r="I23" s="53" t="n"/>
      <c r="J23" s="53" t="n"/>
    </row>
    <row r="24" ht="15.6" customHeight="1">
      <c r="A24" s="54" t="n"/>
      <c r="B24" s="55" t="n"/>
      <c r="C24" s="194" t="n"/>
      <c r="D24" s="194" t="n"/>
      <c r="E24" s="53" t="n">
        <v>366</v>
      </c>
      <c r="F24" s="53" t="n"/>
      <c r="G24" s="53" t="n"/>
      <c r="H24" s="53" t="n"/>
      <c r="I24" s="53" t="n"/>
      <c r="J24" s="53" t="n"/>
    </row>
    <row r="25" ht="15.6" customHeight="1">
      <c r="A25" s="54" t="n"/>
      <c r="B25" s="55" t="n"/>
      <c r="C25" s="194" t="n"/>
      <c r="D25" s="194" t="n"/>
      <c r="E25" s="53" t="n"/>
      <c r="F25" s="53" t="n"/>
      <c r="G25" s="53" t="n"/>
      <c r="H25" s="53" t="n"/>
      <c r="I25" s="53" t="n"/>
      <c r="J25" s="53" t="n"/>
    </row>
    <row r="26" ht="15.6" customHeight="1">
      <c r="A26" s="54" t="n"/>
      <c r="B26" s="55" t="n"/>
      <c r="C26" s="194" t="n"/>
      <c r="D26" s="194" t="n"/>
      <c r="E26" s="53" t="n"/>
      <c r="F26" s="53" t="n"/>
      <c r="G26" s="53" t="n"/>
      <c r="H26" s="53" t="n"/>
      <c r="I26" s="53" t="n"/>
      <c r="J26" s="53" t="n"/>
    </row>
    <row r="27" ht="15.6" customHeight="1">
      <c r="A27" s="54" t="n"/>
      <c r="B27" s="55" t="n"/>
      <c r="C27" s="194" t="n"/>
      <c r="D27" s="194" t="n"/>
      <c r="E27" s="53" t="n"/>
      <c r="F27" s="53" t="n"/>
      <c r="G27" s="53" t="n"/>
      <c r="H27" s="53" t="n"/>
      <c r="I27" s="53" t="n"/>
      <c r="J27" s="53" t="n"/>
    </row>
    <row r="28" ht="15.6" customHeight="1">
      <c r="A28" s="54" t="n"/>
      <c r="B28" s="55" t="n"/>
      <c r="C28" s="194" t="n"/>
      <c r="D28" s="194" t="n"/>
      <c r="E28" s="53" t="n"/>
      <c r="F28" s="53" t="n"/>
      <c r="G28" s="53" t="n"/>
      <c r="H28" s="53" t="n"/>
      <c r="I28" s="53" t="n"/>
      <c r="J28" s="53" t="n"/>
    </row>
    <row r="29" ht="15.6" customHeight="1">
      <c r="A29" s="54" t="n"/>
      <c r="B29" s="55" t="n"/>
      <c r="C29" s="194" t="n"/>
      <c r="D29" s="194" t="n"/>
      <c r="E29" s="53" t="n"/>
      <c r="F29" s="53" t="n"/>
      <c r="G29" s="53" t="n"/>
      <c r="H29" s="53" t="n"/>
      <c r="I29" s="53" t="n"/>
      <c r="J29" s="53" t="n"/>
    </row>
    <row r="30" ht="15.6" customHeight="1">
      <c r="A30" s="54" t="n"/>
      <c r="B30" s="55" t="n"/>
      <c r="C30" s="194" t="n"/>
      <c r="D30" s="194" t="n"/>
      <c r="E30" s="53" t="n"/>
      <c r="F30" s="53" t="n"/>
      <c r="G30" s="53" t="n"/>
      <c r="H30" s="53" t="n"/>
      <c r="I30" s="53" t="n"/>
      <c r="J30" s="53" t="n"/>
    </row>
    <row r="31" ht="15.6" customHeight="1">
      <c r="A31" s="54" t="n"/>
      <c r="B31" s="55" t="n"/>
      <c r="C31" s="194" t="n"/>
      <c r="D31" s="194" t="n"/>
      <c r="E31" s="53" t="n"/>
      <c r="F31" s="53" t="n"/>
      <c r="G31" s="53" t="n"/>
      <c r="H31" s="53" t="n"/>
      <c r="I31" s="53" t="n"/>
      <c r="J31" s="53" t="n"/>
    </row>
    <row r="32" ht="15.6" customHeight="1">
      <c r="A32" s="54" t="n"/>
      <c r="B32" s="55" t="n"/>
      <c r="C32" s="194" t="n"/>
      <c r="D32" s="194" t="n"/>
      <c r="E32" s="53" t="n"/>
      <c r="F32" s="53" t="n"/>
      <c r="G32" s="53" t="n"/>
      <c r="H32" s="53" t="n"/>
      <c r="I32" s="53" t="n"/>
      <c r="J32" s="53" t="n"/>
    </row>
    <row r="33" ht="15.6" customHeight="1">
      <c r="A33" s="54" t="n"/>
      <c r="B33" s="55" t="n"/>
      <c r="C33" s="194" t="n"/>
      <c r="D33" s="194" t="n"/>
      <c r="E33" s="53" t="n"/>
      <c r="F33" s="53" t="n"/>
      <c r="G33" s="53" t="n"/>
      <c r="H33" s="53" t="n"/>
      <c r="I33" s="53" t="n"/>
      <c r="J33" s="53" t="n"/>
    </row>
    <row r="34" ht="15.6" customHeight="1">
      <c r="A34" s="54" t="n"/>
      <c r="B34" s="55" t="n"/>
      <c r="C34" s="194" t="n"/>
      <c r="D34" s="194" t="n"/>
      <c r="E34" s="53" t="n"/>
      <c r="F34" s="53" t="n"/>
      <c r="G34" s="53" t="n"/>
      <c r="H34" s="53" t="n"/>
      <c r="I34" s="53" t="n"/>
      <c r="J34" s="53" t="n"/>
    </row>
    <row r="35" ht="15.6" customHeight="1">
      <c r="A35" s="54" t="n"/>
      <c r="B35" s="55" t="n"/>
      <c r="C35" s="194" t="n"/>
      <c r="D35" s="194" t="n"/>
      <c r="E35" s="53" t="n"/>
      <c r="F35" s="53" t="n"/>
      <c r="G35" s="53" t="n"/>
      <c r="H35" s="53" t="n"/>
      <c r="I35" s="53" t="n"/>
      <c r="J35" s="53" t="n"/>
    </row>
    <row r="36" ht="15.6" customHeight="1">
      <c r="A36" s="54" t="n"/>
      <c r="B36" s="55" t="n"/>
      <c r="C36" s="194" t="n"/>
      <c r="D36" s="194" t="n"/>
      <c r="E36" s="53" t="n"/>
      <c r="F36" s="53" t="n"/>
      <c r="G36" s="53" t="n"/>
      <c r="H36" s="53" t="n"/>
      <c r="I36" s="53" t="n"/>
      <c r="J36" s="53" t="n"/>
    </row>
    <row r="37" ht="15.6" customHeight="1">
      <c r="A37" s="54" t="n"/>
      <c r="B37" s="55" t="n"/>
      <c r="C37" s="194" t="n"/>
      <c r="D37" s="194" t="n"/>
      <c r="E37" s="53" t="n"/>
      <c r="F37" s="53" t="n"/>
      <c r="G37" s="53" t="n"/>
      <c r="H37" s="53" t="n"/>
      <c r="I37" s="53" t="n"/>
      <c r="J37" s="53" t="n"/>
    </row>
    <row r="38" ht="15.6" customHeight="1">
      <c r="A38" s="54" t="n"/>
      <c r="B38" s="55" t="n"/>
      <c r="C38" s="194" t="n"/>
      <c r="D38" s="194" t="n"/>
      <c r="E38" s="53" t="n"/>
      <c r="F38" s="53" t="n"/>
      <c r="G38" s="53" t="n"/>
      <c r="H38" s="53" t="n"/>
      <c r="I38" s="53" t="n"/>
      <c r="J38" s="53" t="n"/>
    </row>
    <row r="39" ht="15.6" customHeight="1">
      <c r="A39" s="54" t="n"/>
      <c r="B39" s="55" t="n"/>
      <c r="C39" s="194" t="n"/>
      <c r="D39" s="194" t="n"/>
    </row>
    <row r="40" ht="15.6" customHeight="1">
      <c r="A40" s="54" t="n"/>
      <c r="B40" s="55" t="n"/>
      <c r="C40" s="194" t="n"/>
      <c r="D40" s="194" t="n"/>
    </row>
    <row r="41" ht="15.6" customHeight="1">
      <c r="A41" s="54" t="n"/>
      <c r="B41" s="55" t="n"/>
      <c r="C41" s="194" t="n"/>
      <c r="D41" s="194" t="n"/>
    </row>
    <row r="42" ht="15.6" customHeight="1">
      <c r="A42" s="54" t="n"/>
      <c r="B42" s="55" t="n"/>
      <c r="C42" s="194" t="n"/>
      <c r="D42" s="194" t="n"/>
    </row>
    <row r="43" ht="15.6" customHeight="1">
      <c r="A43" s="54" t="n"/>
      <c r="B43" s="55" t="n"/>
      <c r="C43" s="194" t="n"/>
      <c r="D43" s="194" t="n"/>
    </row>
    <row r="44" ht="15.6" customHeight="1">
      <c r="A44" s="54" t="n"/>
      <c r="B44" s="55" t="n"/>
      <c r="C44" s="194" t="n"/>
      <c r="D44" s="194" t="n"/>
    </row>
    <row r="45" ht="15.6" customHeight="1">
      <c r="A45" s="54" t="n"/>
      <c r="B45" s="55" t="n"/>
      <c r="C45" s="194" t="n"/>
      <c r="D45" s="194" t="n"/>
    </row>
    <row r="46" ht="15.6" customHeight="1">
      <c r="A46" s="54" t="n"/>
      <c r="B46" s="55" t="n"/>
      <c r="C46" s="194" t="n"/>
      <c r="D46" s="194" t="n"/>
    </row>
    <row r="47" ht="15.6" customHeight="1">
      <c r="A47" s="54" t="n"/>
      <c r="B47" s="55" t="n"/>
      <c r="C47" s="194" t="n"/>
      <c r="D47" s="194" t="n"/>
    </row>
    <row r="48" ht="15.6" customHeight="1">
      <c r="A48" s="54" t="n"/>
      <c r="B48" s="55" t="n"/>
      <c r="C48" s="194" t="n"/>
      <c r="D48" s="194" t="n"/>
    </row>
    <row r="49" ht="15.6" customHeight="1">
      <c r="A49" s="54" t="n"/>
      <c r="B49" s="55" t="n"/>
      <c r="C49" s="194" t="n"/>
      <c r="D49" s="194" t="n"/>
    </row>
  </sheetData>
  <mergeCells count="2">
    <mergeCell ref="E2:E3"/>
    <mergeCell ref="G6:H6"/>
  </mergeCells>
  <conditionalFormatting sqref="D2:D1048576">
    <cfRule type="containsText" priority="1" operator="containsText" dxfId="1" text="AG">
      <formula>NOT(ISERROR(SEARCH("AG",D2)))</formula>
    </cfRule>
    <cfRule type="containsText" priority="2" operator="containsText" dxfId="0" text="PG">
      <formula>NOT(ISERROR(SEARCH("PG",D2)))</formula>
    </cfRule>
  </conditionalFormatting>
  <dataValidations count="1">
    <dataValidation sqref="D2:D1048576" showDropDown="0" showInputMessage="1" showErrorMessage="1" allowBlank="1" type="list">
      <formula1>"PG,AG"</formula1>
    </dataValidation>
  </dataValidations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"/>
  <sheetViews>
    <sheetView topLeftCell="C1" zoomScale="110" zoomScaleNormal="110" workbookViewId="0">
      <selection activeCell="H10" sqref="H10"/>
    </sheetView>
  </sheetViews>
  <sheetFormatPr baseColWidth="8" defaultRowHeight="14.4"/>
  <cols>
    <col width="17.44140625" customWidth="1" min="1" max="1"/>
    <col width="34.5546875" customWidth="1" min="2" max="2"/>
    <col width="15.88671875" customWidth="1" min="3" max="3"/>
    <col width="17.44140625" customWidth="1" min="4" max="4"/>
    <col width="40.44140625" customWidth="1" min="5" max="5"/>
    <col width="32.88671875" customWidth="1" min="6" max="6"/>
    <col width="18.33203125" bestFit="1" customWidth="1" min="7" max="8"/>
    <col width="27.6640625" bestFit="1" customWidth="1" min="9" max="9"/>
  </cols>
  <sheetData>
    <row r="1" ht="30" customFormat="1" customHeight="1" s="91">
      <c r="A1" s="83" t="inlineStr">
        <is>
          <t>DATA</t>
        </is>
      </c>
      <c r="B1" s="83" t="inlineStr">
        <is>
          <t>NOME</t>
        </is>
      </c>
      <c r="C1" s="193" t="inlineStr">
        <is>
          <t xml:space="preserve"> VALOR</t>
        </is>
      </c>
      <c r="D1" s="83" t="inlineStr">
        <is>
          <t>STATUS</t>
        </is>
      </c>
      <c r="E1" s="85" t="inlineStr">
        <is>
          <t>FAT. TOTAL</t>
        </is>
      </c>
      <c r="F1" s="86" t="inlineStr">
        <is>
          <t>INVEST.TOTAL</t>
        </is>
      </c>
      <c r="G1" s="87" t="inlineStr">
        <is>
          <t>FACEBOOK</t>
        </is>
      </c>
      <c r="H1" s="88" t="inlineStr">
        <is>
          <t>GOOGLE</t>
        </is>
      </c>
      <c r="I1" s="89" t="inlineStr">
        <is>
          <t>CUSTO PRODUTOS</t>
        </is>
      </c>
      <c r="J1" s="90" t="n"/>
    </row>
    <row r="2" ht="22.8" customHeight="1">
      <c r="A2" s="54" t="n">
        <v>45383</v>
      </c>
      <c r="B2" s="55" t="inlineStr">
        <is>
          <t>PEDRO VIERA</t>
        </is>
      </c>
      <c r="C2" s="194" t="n">
        <v>628</v>
      </c>
      <c r="D2" s="194" t="inlineStr">
        <is>
          <t>PG</t>
        </is>
      </c>
      <c r="E2" s="195">
        <f>SUM(C1:C193)</f>
        <v/>
      </c>
      <c r="F2" s="196">
        <f>SUM(G2+H2)</f>
        <v/>
      </c>
      <c r="G2" s="197" t="n">
        <v>1700</v>
      </c>
      <c r="H2" s="198" t="n">
        <v>406</v>
      </c>
      <c r="I2" s="199" t="n"/>
      <c r="J2" s="53" t="n"/>
    </row>
    <row r="3" ht="26.25" customHeight="1">
      <c r="A3" s="54" t="n">
        <v>45384</v>
      </c>
      <c r="B3" s="55" t="inlineStr">
        <is>
          <t>OSMARA</t>
        </is>
      </c>
      <c r="C3" s="194" t="n">
        <v>478</v>
      </c>
      <c r="D3" s="194" t="inlineStr">
        <is>
          <t>PG</t>
        </is>
      </c>
      <c r="E3" s="200" t="n"/>
      <c r="F3" s="201" t="n"/>
      <c r="G3" s="201" t="n"/>
      <c r="H3" s="201" t="n"/>
      <c r="I3" s="53" t="n"/>
      <c r="J3" s="53" t="n"/>
    </row>
    <row r="4" ht="22.2" customHeight="1">
      <c r="A4" s="54" t="n">
        <v>45385</v>
      </c>
      <c r="B4" s="55" t="inlineStr">
        <is>
          <t>AMANCIO</t>
        </is>
      </c>
      <c r="C4" s="194" t="n">
        <v>286</v>
      </c>
      <c r="D4" s="194" t="inlineStr">
        <is>
          <t>PG</t>
        </is>
      </c>
      <c r="E4" s="94" t="inlineStr">
        <is>
          <t>META</t>
        </is>
      </c>
      <c r="F4" s="95" t="inlineStr">
        <is>
          <t>3,5X ROI</t>
        </is>
      </c>
      <c r="G4" s="53" t="n"/>
      <c r="H4" s="53" t="n"/>
      <c r="I4" s="53" t="n"/>
      <c r="J4" s="53" t="n"/>
    </row>
    <row r="5" ht="15.6" customHeight="1">
      <c r="A5" s="54" t="n">
        <v>45387</v>
      </c>
      <c r="B5" s="55" t="inlineStr">
        <is>
          <t>BRUNO COMPRIDO</t>
        </is>
      </c>
      <c r="C5" s="194" t="n">
        <v>1412</v>
      </c>
      <c r="D5" s="194" t="inlineStr">
        <is>
          <t>PG</t>
        </is>
      </c>
      <c r="E5" s="53" t="n"/>
      <c r="F5" s="53" t="n"/>
      <c r="G5" s="53" t="n"/>
      <c r="H5" s="53" t="n"/>
      <c r="I5" s="53" t="n"/>
      <c r="J5" s="53" t="n"/>
    </row>
    <row r="6" ht="16.8" customHeight="1">
      <c r="A6" s="54" t="n">
        <v>45389</v>
      </c>
      <c r="B6" s="55" t="inlineStr">
        <is>
          <t>VITOR</t>
        </is>
      </c>
      <c r="C6" s="194" t="n">
        <v>251</v>
      </c>
      <c r="D6" s="194" t="inlineStr">
        <is>
          <t>PG</t>
        </is>
      </c>
      <c r="E6" s="112" t="inlineStr">
        <is>
          <t xml:space="preserve"> LIQUIDO</t>
        </is>
      </c>
      <c r="F6" s="113" t="inlineStr">
        <is>
          <t>ROI ATUAL</t>
        </is>
      </c>
      <c r="G6" s="139" t="inlineStr">
        <is>
          <t>retorno sobre investimento</t>
        </is>
      </c>
      <c r="H6" s="202" t="n"/>
      <c r="I6" s="53" t="n"/>
      <c r="J6" s="53" t="n"/>
    </row>
    <row r="7" ht="22.2" customHeight="1">
      <c r="A7" s="54" t="n">
        <v>45389</v>
      </c>
      <c r="B7" s="55" t="inlineStr">
        <is>
          <t>RODRIGO</t>
        </is>
      </c>
      <c r="C7" s="194" t="n">
        <v>169</v>
      </c>
      <c r="D7" s="194" t="inlineStr">
        <is>
          <t>PG</t>
        </is>
      </c>
      <c r="E7" s="203">
        <f>SUM(C2:C6,C7,C8:C10,C11:C13,C14:C23,C25,C27:C28,C35:C39,C41,C43:C48)</f>
        <v/>
      </c>
      <c r="F7" s="59">
        <f>E2/F2</f>
        <v/>
      </c>
      <c r="G7" s="53" t="n"/>
      <c r="H7" s="53" t="n"/>
      <c r="I7" s="53" t="n"/>
      <c r="J7" s="53" t="n"/>
    </row>
    <row r="8" ht="22.2" customHeight="1">
      <c r="A8" s="54" t="n">
        <v>8</v>
      </c>
      <c r="B8" s="55" t="inlineStr">
        <is>
          <t>BRUNO COMPRIDO</t>
        </is>
      </c>
      <c r="C8" s="194" t="n">
        <v>293</v>
      </c>
      <c r="D8" s="194" t="inlineStr">
        <is>
          <t>PG</t>
        </is>
      </c>
      <c r="E8" s="59">
        <f>E7/F2</f>
        <v/>
      </c>
      <c r="F8" s="53" t="n"/>
      <c r="G8" s="53" t="n"/>
      <c r="H8" s="53" t="n"/>
      <c r="I8" s="53" t="n"/>
      <c r="J8" s="53" t="n"/>
    </row>
    <row r="9" ht="15.6" customHeight="1">
      <c r="A9" s="54" t="n">
        <v>45392</v>
      </c>
      <c r="B9" s="55" t="inlineStr">
        <is>
          <t>AYRTON</t>
        </is>
      </c>
      <c r="C9" s="194" t="n">
        <v>203</v>
      </c>
      <c r="D9" s="194" t="inlineStr">
        <is>
          <t>PG</t>
        </is>
      </c>
      <c r="E9" s="53" t="n"/>
      <c r="F9" s="204" t="n"/>
      <c r="G9" s="53" t="n"/>
      <c r="H9" s="53" t="n"/>
      <c r="I9" s="53" t="n"/>
      <c r="J9" s="53" t="n"/>
    </row>
    <row r="10" ht="15.6" customHeight="1">
      <c r="A10" s="54" t="n">
        <v>45396</v>
      </c>
      <c r="B10" s="55" t="inlineStr">
        <is>
          <t>VITOR</t>
        </is>
      </c>
      <c r="C10" s="194" t="n">
        <v>450</v>
      </c>
      <c r="D10" s="194" t="inlineStr">
        <is>
          <t>PG</t>
        </is>
      </c>
      <c r="E10" s="98" t="inlineStr">
        <is>
          <t>alcance</t>
        </is>
      </c>
      <c r="F10" s="98" t="inlineStr">
        <is>
          <t>RMK</t>
        </is>
      </c>
      <c r="G10" s="53" t="n"/>
      <c r="H10" s="53" t="n"/>
      <c r="I10" s="53" t="n"/>
      <c r="J10" s="53" t="n"/>
    </row>
    <row r="11" ht="15.6" customHeight="1">
      <c r="A11" s="54" t="n">
        <v>45397</v>
      </c>
      <c r="B11" s="55" t="inlineStr">
        <is>
          <t>DANIELE</t>
        </is>
      </c>
      <c r="C11" s="194" t="n">
        <v>151</v>
      </c>
      <c r="D11" s="194" t="inlineStr">
        <is>
          <t>PG</t>
        </is>
      </c>
      <c r="E11" s="98" t="inlineStr">
        <is>
          <t>regiao</t>
        </is>
      </c>
      <c r="F11" s="98" t="inlineStr">
        <is>
          <t>PAGE VIEW ACESSORIOS 15D</t>
        </is>
      </c>
      <c r="G11" s="53" t="n"/>
      <c r="H11" s="53" t="n"/>
      <c r="I11" s="53" t="n"/>
      <c r="J11" s="53" t="n"/>
    </row>
    <row r="12" ht="15.6" customHeight="1">
      <c r="A12" s="54" t="n">
        <v>45398</v>
      </c>
      <c r="B12" s="55" t="inlineStr">
        <is>
          <t>CAIO MUSCA</t>
        </is>
      </c>
      <c r="C12" s="194" t="n">
        <v>151</v>
      </c>
      <c r="D12" s="194" t="inlineStr">
        <is>
          <t>PG</t>
        </is>
      </c>
      <c r="E12" s="98" t="inlineStr">
        <is>
          <t>produto campeao</t>
        </is>
      </c>
      <c r="F12" s="110" t="inlineStr">
        <is>
          <t>ADC AO CARRINHO 7D</t>
        </is>
      </c>
      <c r="G12" s="53" t="n"/>
      <c r="H12" s="53" t="n"/>
      <c r="I12" s="53" t="n"/>
      <c r="J12" s="53" t="n"/>
    </row>
    <row r="13" ht="15.6" customHeight="1">
      <c r="A13" s="54" t="n">
        <v>45398</v>
      </c>
      <c r="B13" s="55" t="inlineStr">
        <is>
          <t>GUSTAVO EDUARDO</t>
        </is>
      </c>
      <c r="C13" s="194" t="n">
        <v>427</v>
      </c>
      <c r="D13" s="194" t="inlineStr">
        <is>
          <t>PG</t>
        </is>
      </c>
      <c r="E13" s="98" t="n"/>
      <c r="F13" s="110" t="inlineStr">
        <is>
          <t>FINALIZA 7D</t>
        </is>
      </c>
      <c r="G13" s="53" t="n"/>
      <c r="H13" s="53" t="n"/>
      <c r="I13" s="53" t="n"/>
      <c r="J13" s="53" t="n"/>
    </row>
    <row r="14" ht="15.6" customHeight="1">
      <c r="A14" s="54" t="n">
        <v>45398</v>
      </c>
      <c r="B14" s="55" t="inlineStr">
        <is>
          <t>MATHEUS</t>
        </is>
      </c>
      <c r="C14" s="194" t="n">
        <v>281</v>
      </c>
      <c r="D14" s="194" t="inlineStr">
        <is>
          <t>AG</t>
        </is>
      </c>
      <c r="E14" s="53" t="n"/>
      <c r="F14" s="111" t="inlineStr">
        <is>
          <t>ENVOLV INSTA 30D</t>
        </is>
      </c>
      <c r="G14" s="53" t="n"/>
      <c r="H14" s="53" t="n"/>
      <c r="I14" s="53" t="n"/>
      <c r="J14" s="53" t="n"/>
    </row>
    <row r="15" ht="15.6" customHeight="1">
      <c r="A15" s="54" t="n">
        <v>45403</v>
      </c>
      <c r="B15" s="55" t="inlineStr">
        <is>
          <t>HENRIQUE</t>
        </is>
      </c>
      <c r="C15" s="194" t="n">
        <v>292</v>
      </c>
      <c r="D15" s="194" t="inlineStr">
        <is>
          <t>PG</t>
        </is>
      </c>
      <c r="E15" s="53" t="n"/>
      <c r="F15" s="111" t="inlineStr">
        <is>
          <t>ENVOLV FACE 30D</t>
        </is>
      </c>
      <c r="G15" s="53" t="n"/>
      <c r="H15" s="53" t="n"/>
      <c r="I15" s="53" t="n"/>
      <c r="J15" s="53" t="n"/>
    </row>
    <row r="16" ht="15.6" customHeight="1">
      <c r="A16" s="54" t="n">
        <v>45405</v>
      </c>
      <c r="B16" s="55" t="inlineStr">
        <is>
          <t>KAIQUE</t>
        </is>
      </c>
      <c r="C16" s="194" t="n">
        <v>151</v>
      </c>
      <c r="D16" s="194" t="inlineStr">
        <is>
          <t>PG</t>
        </is>
      </c>
      <c r="E16" s="53" t="n"/>
      <c r="F16" s="53" t="n"/>
      <c r="G16" s="53" t="n"/>
      <c r="H16" s="53" t="n"/>
      <c r="I16" s="53" t="n"/>
      <c r="J16" s="53" t="n"/>
    </row>
    <row r="17" ht="15.6" customHeight="1">
      <c r="A17" s="54" t="n">
        <v>45408</v>
      </c>
      <c r="B17" s="55" t="inlineStr">
        <is>
          <t>CRISTIANO</t>
        </is>
      </c>
      <c r="C17" s="194" t="n">
        <v>720</v>
      </c>
      <c r="D17" s="194" t="inlineStr">
        <is>
          <t>PG</t>
        </is>
      </c>
      <c r="E17" s="53" t="n"/>
      <c r="F17" s="53" t="n"/>
      <c r="G17" s="53" t="n"/>
      <c r="H17" s="53" t="n"/>
      <c r="I17" s="53" t="n"/>
      <c r="J17" s="53" t="n"/>
    </row>
    <row r="18" ht="15.6" customHeight="1">
      <c r="A18" s="54" t="n">
        <v>45410</v>
      </c>
      <c r="B18" s="55" t="inlineStr">
        <is>
          <t>GIAN</t>
        </is>
      </c>
      <c r="C18" s="194" t="n">
        <v>270</v>
      </c>
      <c r="D18" s="194" t="inlineStr">
        <is>
          <t>PG</t>
        </is>
      </c>
      <c r="E18" s="53" t="n">
        <v>1322</v>
      </c>
      <c r="F18" s="53" t="n"/>
      <c r="G18" s="53" t="n"/>
      <c r="H18" s="53" t="n"/>
      <c r="I18" s="53" t="n"/>
      <c r="J18" s="53" t="n"/>
    </row>
    <row r="19" ht="15.6" customHeight="1">
      <c r="A19" s="54" t="n">
        <v>45410</v>
      </c>
      <c r="B19" s="55" t="inlineStr">
        <is>
          <t>FELIPE</t>
        </is>
      </c>
      <c r="C19" s="194" t="n">
        <v>270</v>
      </c>
      <c r="D19" s="194" t="inlineStr">
        <is>
          <t>PG</t>
        </is>
      </c>
      <c r="E19" s="53" t="n">
        <v>5472</v>
      </c>
      <c r="F19" s="53" t="n"/>
      <c r="G19" s="53" t="n"/>
      <c r="H19" s="53" t="n"/>
      <c r="I19" s="53" t="n"/>
      <c r="J19" s="53" t="n"/>
    </row>
    <row r="20" ht="15.6" customHeight="1">
      <c r="A20" s="54" t="n">
        <v>45411</v>
      </c>
      <c r="B20" s="55" t="inlineStr">
        <is>
          <t>JOAO ANTONIO</t>
        </is>
      </c>
      <c r="C20" s="194" t="n">
        <v>428</v>
      </c>
      <c r="D20" s="194" t="inlineStr">
        <is>
          <t>PG</t>
        </is>
      </c>
      <c r="E20" s="53" t="inlineStr">
        <is>
          <t xml:space="preserve"> </t>
        </is>
      </c>
      <c r="F20" s="53" t="n"/>
      <c r="G20" s="53" t="n"/>
      <c r="H20" s="53" t="n"/>
      <c r="I20" s="53" t="n"/>
      <c r="J20" s="53" t="n"/>
    </row>
    <row r="21" ht="15.6" customHeight="1">
      <c r="A21" s="54" t="n">
        <v>45412</v>
      </c>
      <c r="B21" s="55" t="inlineStr">
        <is>
          <t>RAFAEL</t>
        </is>
      </c>
      <c r="C21" s="194" t="n">
        <v>277</v>
      </c>
      <c r="D21" s="194" t="inlineStr">
        <is>
          <t>PG</t>
        </is>
      </c>
      <c r="E21" s="53" t="n"/>
      <c r="F21" s="98" t="inlineStr">
        <is>
          <t>HUMANIZAR A MARCA</t>
        </is>
      </c>
      <c r="G21" s="53" t="n"/>
      <c r="H21" s="53" t="n"/>
      <c r="I21" s="53" t="n"/>
      <c r="J21" s="53" t="n"/>
    </row>
    <row r="22" ht="15.6" customHeight="1">
      <c r="A22" s="54" t="n">
        <v>45412</v>
      </c>
      <c r="B22" s="55" t="inlineStr">
        <is>
          <t>HUDSON</t>
        </is>
      </c>
      <c r="C22" s="194" t="n">
        <v>152</v>
      </c>
      <c r="D22" s="194" t="inlineStr">
        <is>
          <t>PG</t>
        </is>
      </c>
      <c r="E22" s="53" t="n"/>
      <c r="F22" s="98" t="inlineStr">
        <is>
          <t>INTERACAO NOS STORYS</t>
        </is>
      </c>
      <c r="G22" s="53" t="n"/>
      <c r="H22" s="53" t="n"/>
      <c r="I22" s="53" t="n"/>
      <c r="J22" s="53" t="n"/>
    </row>
    <row r="23" ht="15.6" customHeight="1">
      <c r="A23" s="54" t="n"/>
      <c r="B23" s="55" t="n"/>
      <c r="C23" s="194" t="n"/>
      <c r="D23" s="194" t="n"/>
      <c r="E23" s="53" t="n"/>
      <c r="F23" s="53" t="n"/>
      <c r="G23" s="53" t="n"/>
      <c r="H23" s="53" t="n"/>
      <c r="I23" s="53" t="n"/>
      <c r="J23" s="53" t="n"/>
    </row>
    <row r="24" ht="15.6" customHeight="1">
      <c r="A24" s="54" t="n"/>
      <c r="B24" s="55" t="n"/>
      <c r="C24" s="194" t="n"/>
      <c r="D24" s="194" t="n"/>
      <c r="E24" s="53" t="n"/>
      <c r="F24" s="53" t="n"/>
      <c r="G24" s="53" t="n"/>
      <c r="H24" s="53" t="n"/>
      <c r="I24" s="53" t="n"/>
      <c r="J24" s="53" t="n"/>
    </row>
    <row r="25" ht="15.6" customHeight="1">
      <c r="A25" s="54" t="n"/>
      <c r="B25" s="55" t="n"/>
      <c r="C25" s="194" t="n"/>
      <c r="D25" s="194" t="n"/>
      <c r="E25" s="53" t="n"/>
      <c r="F25" s="53" t="n"/>
      <c r="G25" s="53" t="n"/>
      <c r="H25" s="53" t="n"/>
      <c r="I25" s="53" t="n"/>
      <c r="J25" s="53" t="n"/>
    </row>
    <row r="26" ht="15.6" customHeight="1">
      <c r="A26" s="54" t="n"/>
      <c r="B26" s="55" t="n"/>
      <c r="C26" s="194" t="n"/>
      <c r="D26" s="194" t="n"/>
      <c r="E26" s="53" t="n"/>
      <c r="F26" s="53" t="n"/>
      <c r="G26" s="53" t="n"/>
      <c r="H26" s="53" t="n"/>
      <c r="I26" s="53" t="n"/>
      <c r="J26" s="53" t="n"/>
    </row>
    <row r="27" ht="15.6" customHeight="1">
      <c r="A27" s="54" t="n"/>
      <c r="B27" s="55" t="n"/>
      <c r="C27" s="194" t="n"/>
      <c r="D27" s="194" t="n"/>
      <c r="E27" s="53" t="n"/>
      <c r="F27" s="53" t="n"/>
      <c r="G27" s="53" t="n"/>
      <c r="H27" s="53" t="n"/>
      <c r="I27" s="53" t="n"/>
      <c r="J27" s="53" t="n"/>
    </row>
    <row r="28" ht="15.6" customHeight="1">
      <c r="A28" s="54" t="n"/>
      <c r="B28" s="55" t="n"/>
      <c r="C28" s="194" t="n"/>
      <c r="D28" s="194" t="n"/>
      <c r="E28" s="53" t="n"/>
      <c r="F28" s="53" t="n"/>
      <c r="G28" s="53" t="n"/>
      <c r="H28" s="53" t="n"/>
      <c r="I28" s="53" t="n"/>
      <c r="J28" s="53" t="n"/>
    </row>
    <row r="29" ht="15.6" customHeight="1">
      <c r="A29" s="54" t="n"/>
      <c r="B29" s="55" t="n"/>
      <c r="C29" s="194" t="n"/>
      <c r="D29" s="194" t="n"/>
      <c r="E29" s="53" t="n"/>
      <c r="F29" s="53" t="n"/>
      <c r="G29" s="53" t="n"/>
      <c r="H29" s="53" t="n"/>
      <c r="I29" s="53" t="n"/>
      <c r="J29" s="53" t="n"/>
    </row>
    <row r="30" ht="15.6" customHeight="1">
      <c r="A30" s="54" t="n"/>
      <c r="B30" s="55" t="n"/>
      <c r="C30" s="194" t="n"/>
      <c r="D30" s="194" t="n"/>
      <c r="E30" s="53" t="n"/>
      <c r="F30" s="53" t="n"/>
      <c r="G30" s="53" t="n"/>
      <c r="H30" s="53" t="n"/>
      <c r="I30" s="53" t="n"/>
      <c r="J30" s="53" t="n"/>
    </row>
    <row r="31" ht="15.6" customHeight="1">
      <c r="A31" s="54" t="n"/>
      <c r="B31" s="55" t="n"/>
      <c r="C31" s="194" t="n"/>
      <c r="D31" s="194" t="n"/>
      <c r="E31" s="53" t="n"/>
      <c r="F31" s="53" t="n"/>
      <c r="G31" s="53" t="n"/>
      <c r="H31" s="53" t="n"/>
      <c r="I31" s="53" t="n"/>
      <c r="J31" s="53" t="n"/>
    </row>
    <row r="32" ht="15.6" customHeight="1">
      <c r="A32" s="54" t="n"/>
      <c r="B32" s="55" t="n"/>
      <c r="C32" s="194" t="n"/>
      <c r="D32" s="194" t="n"/>
      <c r="E32" s="53" t="n"/>
      <c r="F32" s="53" t="n"/>
      <c r="G32" s="53" t="n"/>
      <c r="H32" s="53" t="n"/>
      <c r="I32" s="53" t="n"/>
      <c r="J32" s="53" t="n"/>
    </row>
    <row r="33" ht="15.6" customHeight="1">
      <c r="A33" s="54" t="n"/>
      <c r="B33" s="55" t="n"/>
      <c r="C33" s="194" t="n"/>
      <c r="D33" s="194" t="n"/>
      <c r="E33" s="53" t="n"/>
      <c r="F33" s="53" t="n"/>
      <c r="G33" s="53" t="n"/>
      <c r="H33" s="53" t="n"/>
      <c r="I33" s="53" t="n"/>
      <c r="J33" s="53" t="n"/>
    </row>
    <row r="34" ht="15.6" customHeight="1">
      <c r="A34" s="54" t="n"/>
      <c r="B34" s="55" t="n"/>
      <c r="C34" s="194" t="n"/>
      <c r="D34" s="194" t="n"/>
      <c r="E34" s="53" t="n"/>
      <c r="F34" s="53" t="n"/>
      <c r="G34" s="53" t="n"/>
      <c r="H34" s="53" t="n"/>
      <c r="I34" s="53" t="n"/>
      <c r="J34" s="53" t="n"/>
    </row>
    <row r="35" ht="15.6" customHeight="1">
      <c r="A35" s="54" t="n"/>
      <c r="B35" s="55" t="n"/>
      <c r="C35" s="194" t="n"/>
      <c r="D35" s="194" t="n"/>
      <c r="E35" s="53" t="n"/>
      <c r="F35" s="53" t="n"/>
      <c r="G35" s="53" t="n"/>
      <c r="H35" s="53" t="n"/>
      <c r="I35" s="53" t="n"/>
      <c r="J35" s="53" t="n"/>
    </row>
    <row r="36" ht="15.6" customHeight="1">
      <c r="A36" s="54" t="n"/>
      <c r="B36" s="55" t="n"/>
      <c r="C36" s="194" t="n"/>
      <c r="D36" s="194" t="n"/>
      <c r="E36" s="53" t="n"/>
      <c r="F36" s="53" t="n"/>
      <c r="G36" s="53" t="n"/>
      <c r="H36" s="53" t="n"/>
      <c r="I36" s="53" t="n"/>
      <c r="J36" s="53" t="n"/>
    </row>
    <row r="37" ht="15.6" customHeight="1">
      <c r="A37" s="54" t="n"/>
      <c r="B37" s="55" t="n"/>
      <c r="C37" s="194" t="n"/>
      <c r="D37" s="194" t="n"/>
      <c r="E37" s="53" t="n"/>
      <c r="F37" s="53" t="n"/>
      <c r="G37" s="53" t="n"/>
      <c r="H37" s="53" t="n"/>
      <c r="I37" s="53" t="n"/>
      <c r="J37" s="53" t="n"/>
    </row>
    <row r="38" ht="15.6" customHeight="1">
      <c r="A38" s="54" t="n"/>
      <c r="B38" s="55" t="n"/>
      <c r="C38" s="194" t="n"/>
      <c r="D38" s="194" t="n"/>
      <c r="E38" s="53" t="n"/>
      <c r="F38" s="53" t="n"/>
      <c r="G38" s="53" t="n"/>
      <c r="H38" s="53" t="n"/>
      <c r="I38" s="53" t="n"/>
      <c r="J38" s="53" t="n"/>
    </row>
    <row r="39" ht="15.6" customHeight="1">
      <c r="A39" s="54" t="n"/>
      <c r="B39" s="55" t="n"/>
      <c r="C39" s="194" t="n"/>
      <c r="D39" s="194" t="n"/>
    </row>
    <row r="40" ht="15.6" customHeight="1">
      <c r="A40" s="54" t="n"/>
      <c r="B40" s="55" t="n"/>
      <c r="C40" s="194" t="n"/>
      <c r="D40" s="194" t="n"/>
    </row>
    <row r="41" ht="15.6" customHeight="1">
      <c r="A41" s="54" t="n"/>
      <c r="B41" s="55" t="n"/>
      <c r="C41" s="194" t="n"/>
      <c r="D41" s="194" t="n"/>
    </row>
    <row r="42" ht="15.6" customHeight="1">
      <c r="A42" s="54" t="n"/>
      <c r="B42" s="55" t="n"/>
      <c r="C42" s="194" t="n"/>
      <c r="D42" s="194" t="n"/>
    </row>
    <row r="43" ht="15.6" customHeight="1">
      <c r="A43" s="54" t="n"/>
      <c r="B43" s="55" t="n"/>
      <c r="C43" s="194" t="n"/>
      <c r="D43" s="194" t="n"/>
    </row>
    <row r="44" ht="15.6" customHeight="1">
      <c r="A44" s="54" t="n"/>
      <c r="B44" s="55" t="n"/>
      <c r="C44" s="194" t="n"/>
      <c r="D44" s="194" t="n"/>
    </row>
    <row r="45" ht="15.6" customHeight="1">
      <c r="A45" s="54" t="n"/>
      <c r="B45" s="55" t="n"/>
      <c r="C45" s="194" t="n"/>
      <c r="D45" s="194" t="n"/>
    </row>
    <row r="46" ht="15.6" customHeight="1">
      <c r="A46" s="54" t="n"/>
      <c r="B46" s="55" t="n"/>
      <c r="C46" s="194" t="n"/>
      <c r="D46" s="194" t="n"/>
    </row>
    <row r="47" ht="15.6" customHeight="1">
      <c r="A47" s="54" t="n"/>
      <c r="B47" s="55" t="n"/>
      <c r="C47" s="194" t="n"/>
      <c r="D47" s="194" t="n"/>
    </row>
    <row r="48" ht="15.6" customHeight="1">
      <c r="A48" s="54" t="n"/>
      <c r="B48" s="55" t="n"/>
      <c r="C48" s="194" t="n"/>
      <c r="D48" s="194" t="n"/>
    </row>
    <row r="49" ht="15.6" customHeight="1">
      <c r="A49" s="54" t="n"/>
      <c r="B49" s="55" t="n"/>
      <c r="C49" s="194" t="n"/>
      <c r="D49" s="194" t="n"/>
    </row>
  </sheetData>
  <mergeCells count="2">
    <mergeCell ref="E2:E3"/>
    <mergeCell ref="G6:H6"/>
  </mergeCells>
  <conditionalFormatting sqref="D2:D1048576">
    <cfRule type="containsText" priority="1" operator="containsText" dxfId="1" text="AG">
      <formula>NOT(ISERROR(SEARCH("AG",D2)))</formula>
    </cfRule>
    <cfRule type="containsText" priority="2" operator="containsText" dxfId="0" text="PG">
      <formula>NOT(ISERROR(SEARCH("PG",D2)))</formula>
    </cfRule>
  </conditionalFormatting>
  <dataValidations count="1">
    <dataValidation sqref="D2:D1048576" showDropDown="0" showInputMessage="1" showErrorMessage="1" allowBlank="1" type="list">
      <formula1>"PG,AG"</formula1>
    </dataValidation>
  </dataValidations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9"/>
  <sheetViews>
    <sheetView topLeftCell="A17" zoomScale="130" zoomScaleNormal="130" workbookViewId="0">
      <selection activeCell="C18" sqref="C18:C25"/>
    </sheetView>
  </sheetViews>
  <sheetFormatPr baseColWidth="8" defaultRowHeight="14.4"/>
  <cols>
    <col width="17.44140625" customWidth="1" min="1" max="1"/>
    <col width="34.5546875" customWidth="1" min="2" max="2"/>
    <col width="15.88671875" customWidth="1" min="3" max="3"/>
    <col width="17.44140625" customWidth="1" min="4" max="4"/>
    <col width="40.44140625" customWidth="1" min="5" max="5"/>
    <col width="32.88671875" customWidth="1" min="6" max="6"/>
    <col width="18.33203125" bestFit="1" customWidth="1" min="7" max="8"/>
    <col width="27.6640625" bestFit="1" customWidth="1" min="9" max="9"/>
  </cols>
  <sheetData>
    <row r="1" ht="30" customFormat="1" customHeight="1" s="91">
      <c r="A1" s="83" t="inlineStr">
        <is>
          <t>DATA</t>
        </is>
      </c>
      <c r="B1" s="83" t="inlineStr">
        <is>
          <t>NOME</t>
        </is>
      </c>
      <c r="C1" s="193" t="inlineStr">
        <is>
          <t xml:space="preserve"> VALOR</t>
        </is>
      </c>
      <c r="D1" s="83" t="inlineStr">
        <is>
          <t>STATUS</t>
        </is>
      </c>
      <c r="E1" s="85" t="inlineStr">
        <is>
          <t>FAT. TOTAL</t>
        </is>
      </c>
      <c r="F1" s="86" t="inlineStr">
        <is>
          <t>INVEST.TOTAL</t>
        </is>
      </c>
      <c r="G1" s="87" t="inlineStr">
        <is>
          <t>FACEBOOK</t>
        </is>
      </c>
      <c r="H1" s="88" t="inlineStr">
        <is>
          <t>GOOGLE</t>
        </is>
      </c>
      <c r="I1" s="89" t="inlineStr">
        <is>
          <t>CUSTO PRODUTOS</t>
        </is>
      </c>
      <c r="J1" s="90" t="n"/>
    </row>
    <row r="2" ht="22.8" customHeight="1">
      <c r="A2" s="54" t="n">
        <v>45415</v>
      </c>
      <c r="B2" s="55" t="inlineStr">
        <is>
          <t>LUCAS MAIA</t>
        </is>
      </c>
      <c r="C2" s="194" t="n">
        <v>152</v>
      </c>
      <c r="D2" s="194" t="inlineStr">
        <is>
          <t>PG</t>
        </is>
      </c>
      <c r="E2" s="195">
        <f>SUM(C1:C193)</f>
        <v/>
      </c>
      <c r="F2" s="196">
        <f>SUM(G2+H2)</f>
        <v/>
      </c>
      <c r="G2" s="197" t="n">
        <v>1200</v>
      </c>
      <c r="H2" s="198" t="n">
        <v>211</v>
      </c>
      <c r="I2" s="199" t="n"/>
      <c r="J2" s="53" t="n"/>
    </row>
    <row r="3" ht="26.25" customHeight="1">
      <c r="A3" s="54" t="n">
        <v>45416</v>
      </c>
      <c r="B3" s="55" t="inlineStr">
        <is>
          <t>CARLOS</t>
        </is>
      </c>
      <c r="C3" s="194" t="n">
        <v>279</v>
      </c>
      <c r="D3" s="194" t="inlineStr">
        <is>
          <t>PG</t>
        </is>
      </c>
      <c r="E3" s="200" t="n"/>
      <c r="F3" s="201" t="n"/>
      <c r="G3" s="201" t="n"/>
      <c r="H3" s="201" t="n"/>
      <c r="I3" s="53" t="n"/>
      <c r="J3" s="53" t="n"/>
    </row>
    <row r="4" ht="22.2" customHeight="1">
      <c r="A4" s="54" t="inlineStr">
        <is>
          <t>06//05/2023</t>
        </is>
      </c>
      <c r="B4" s="55" t="inlineStr">
        <is>
          <t>IGOR RODRIGUES</t>
        </is>
      </c>
      <c r="C4" s="194" t="n">
        <v>292</v>
      </c>
      <c r="D4" s="194" t="inlineStr">
        <is>
          <t>PG</t>
        </is>
      </c>
      <c r="E4" s="94" t="inlineStr">
        <is>
          <t>META</t>
        </is>
      </c>
      <c r="F4" s="95" t="inlineStr">
        <is>
          <t>3,5X ROI</t>
        </is>
      </c>
      <c r="G4" s="53" t="n"/>
      <c r="H4" s="53" t="n"/>
      <c r="I4" s="53" t="n"/>
      <c r="J4" s="53" t="n"/>
    </row>
    <row r="5" ht="15.6" customHeight="1">
      <c r="A5" s="54" t="n">
        <v>45423</v>
      </c>
      <c r="B5" s="55" t="inlineStr">
        <is>
          <t>ANDRE</t>
        </is>
      </c>
      <c r="C5" s="194" t="n">
        <v>154</v>
      </c>
      <c r="D5" s="194" t="inlineStr">
        <is>
          <t>PG</t>
        </is>
      </c>
      <c r="E5" s="53" t="n"/>
      <c r="F5" s="53" t="n"/>
      <c r="G5" s="53" t="n"/>
      <c r="H5" s="53" t="n"/>
      <c r="I5" s="53" t="n"/>
      <c r="J5" s="53" t="n"/>
    </row>
    <row r="6" ht="16.8" customHeight="1">
      <c r="A6" s="54" t="n">
        <v>45423</v>
      </c>
      <c r="B6" s="55" t="inlineStr">
        <is>
          <t>WAGNER</t>
        </is>
      </c>
      <c r="C6" s="194" t="n">
        <v>652</v>
      </c>
      <c r="D6" s="194" t="inlineStr">
        <is>
          <t>PG</t>
        </is>
      </c>
      <c r="E6" s="112" t="inlineStr">
        <is>
          <t xml:space="preserve"> LIQUIDO</t>
        </is>
      </c>
      <c r="F6" s="113" t="inlineStr">
        <is>
          <t>ROI ATUAL</t>
        </is>
      </c>
      <c r="G6" s="139" t="inlineStr">
        <is>
          <t>retorno sobre investimento</t>
        </is>
      </c>
      <c r="H6" s="202" t="n"/>
      <c r="I6" s="53" t="n"/>
      <c r="J6" s="53" t="n"/>
    </row>
    <row r="7" ht="22.2" customHeight="1">
      <c r="A7" s="54" t="n">
        <v>45424</v>
      </c>
      <c r="B7" s="55" t="inlineStr">
        <is>
          <t>ADSION</t>
        </is>
      </c>
      <c r="C7" s="194" t="n">
        <v>158</v>
      </c>
      <c r="D7" s="194" t="inlineStr">
        <is>
          <t>PG</t>
        </is>
      </c>
      <c r="E7" s="203">
        <f>SUM(C2:C6,C7,C8:C9,C10:C13,C14:C23,C25,C27:C28,C35:C39,C41,C43:C48)</f>
        <v/>
      </c>
      <c r="F7" s="59">
        <f>E2/F2</f>
        <v/>
      </c>
      <c r="G7" s="53" t="n"/>
      <c r="H7" s="53" t="n"/>
      <c r="I7" s="53" t="n"/>
      <c r="J7" s="53" t="n"/>
    </row>
    <row r="8" ht="22.2" customHeight="1">
      <c r="A8" s="54" t="n">
        <v>45424</v>
      </c>
      <c r="B8" s="55" t="inlineStr">
        <is>
          <t>ALEXANDRE</t>
        </is>
      </c>
      <c r="C8" s="194" t="n">
        <v>177</v>
      </c>
      <c r="D8" s="194" t="inlineStr">
        <is>
          <t>PG</t>
        </is>
      </c>
      <c r="E8" s="59">
        <f>E7/F2</f>
        <v/>
      </c>
      <c r="F8" s="53" t="n"/>
      <c r="G8" s="53" t="n"/>
      <c r="H8" s="53" t="n"/>
      <c r="I8" s="53" t="n"/>
      <c r="J8" s="53" t="n"/>
    </row>
    <row r="9" ht="15.6" customHeight="1">
      <c r="A9" s="54" t="n">
        <v>45426</v>
      </c>
      <c r="B9" s="55" t="inlineStr">
        <is>
          <t>MIRELA</t>
        </is>
      </c>
      <c r="C9" s="194" t="n">
        <v>2605</v>
      </c>
      <c r="D9" s="194" t="inlineStr">
        <is>
          <t>PG</t>
        </is>
      </c>
      <c r="E9" s="53" t="n"/>
      <c r="F9" s="204" t="n"/>
      <c r="G9" s="53" t="n"/>
      <c r="H9" s="53" t="n"/>
      <c r="I9" s="53" t="n"/>
      <c r="J9" s="53" t="n"/>
    </row>
    <row r="10" ht="15.6" customHeight="1">
      <c r="A10" s="54" t="n">
        <v>45427</v>
      </c>
      <c r="B10" s="55" t="inlineStr">
        <is>
          <t>YGOR</t>
        </is>
      </c>
      <c r="C10" s="194" t="n">
        <v>155</v>
      </c>
      <c r="D10" s="194" t="inlineStr">
        <is>
          <t>PG</t>
        </is>
      </c>
      <c r="E10" s="98" t="inlineStr">
        <is>
          <t>alcance</t>
        </is>
      </c>
      <c r="F10" s="98" t="inlineStr">
        <is>
          <t>RMK</t>
        </is>
      </c>
      <c r="G10" s="53" t="n"/>
      <c r="H10" s="53" t="n"/>
      <c r="I10" s="53" t="n"/>
      <c r="J10" s="53" t="n"/>
    </row>
    <row r="11" ht="15.6" customHeight="1">
      <c r="A11" s="54" t="n">
        <v>45428</v>
      </c>
      <c r="B11" s="55" t="inlineStr">
        <is>
          <t>MIGUEL</t>
        </is>
      </c>
      <c r="C11" s="194" t="n">
        <v>78</v>
      </c>
      <c r="D11" s="194" t="inlineStr">
        <is>
          <t>PG</t>
        </is>
      </c>
      <c r="E11" s="98" t="inlineStr">
        <is>
          <t>regiao</t>
        </is>
      </c>
      <c r="F11" s="98" t="inlineStr">
        <is>
          <t>PAGE VIEW ACESSORIOS 15D</t>
        </is>
      </c>
      <c r="G11" s="53" t="n"/>
      <c r="H11" s="53" t="n"/>
      <c r="I11" s="53" t="n"/>
      <c r="J11" s="53" t="n"/>
    </row>
    <row r="12" ht="15.6" customHeight="1">
      <c r="A12" s="54" t="n">
        <v>45428</v>
      </c>
      <c r="B12" s="55" t="inlineStr">
        <is>
          <t>ALEXANDRE</t>
        </is>
      </c>
      <c r="C12" s="194" t="n">
        <v>1426</v>
      </c>
      <c r="D12" s="194" t="inlineStr">
        <is>
          <t>PG</t>
        </is>
      </c>
      <c r="E12" s="98" t="inlineStr">
        <is>
          <t>produto campeao</t>
        </is>
      </c>
      <c r="F12" s="110" t="inlineStr">
        <is>
          <t>ADC AO CARRINHO 7D</t>
        </is>
      </c>
      <c r="G12" s="53" t="n"/>
      <c r="H12" s="53" t="n"/>
      <c r="I12" s="53" t="n"/>
      <c r="J12" s="53" t="n"/>
    </row>
    <row r="13" ht="15.6" customHeight="1">
      <c r="A13" s="54" t="n">
        <v>45429</v>
      </c>
      <c r="B13" s="55" t="inlineStr">
        <is>
          <t>MATHEUS</t>
        </is>
      </c>
      <c r="C13" s="194" t="n">
        <v>293</v>
      </c>
      <c r="D13" s="194" t="inlineStr">
        <is>
          <t>PG</t>
        </is>
      </c>
      <c r="E13" s="98" t="n"/>
      <c r="F13" s="110" t="inlineStr">
        <is>
          <t>FINALIZA 7D</t>
        </is>
      </c>
      <c r="G13" s="53" t="n"/>
      <c r="H13" s="53" t="n"/>
      <c r="I13" s="53" t="n"/>
      <c r="J13" s="53" t="n"/>
    </row>
    <row r="14" ht="15.6" customHeight="1">
      <c r="A14" s="54" t="n">
        <v>45429</v>
      </c>
      <c r="B14" s="55" t="inlineStr">
        <is>
          <t>RAFAEL LIMA</t>
        </is>
      </c>
      <c r="C14" s="194" t="n">
        <v>155</v>
      </c>
      <c r="D14" s="194" t="inlineStr">
        <is>
          <t>PG</t>
        </is>
      </c>
      <c r="E14" s="53" t="n"/>
      <c r="F14" s="111" t="inlineStr">
        <is>
          <t>ENVOLV INSTA 30D</t>
        </is>
      </c>
      <c r="G14" s="53" t="n"/>
      <c r="H14" s="53" t="n"/>
      <c r="I14" s="53" t="n"/>
      <c r="J14" s="53" t="n"/>
    </row>
    <row r="15" ht="15.6" customHeight="1">
      <c r="A15" s="54" t="n">
        <v>45431</v>
      </c>
      <c r="B15" s="55" t="inlineStr">
        <is>
          <t>CRISTIANO</t>
        </is>
      </c>
      <c r="C15" s="194" t="n">
        <v>1400</v>
      </c>
      <c r="D15" s="194" t="inlineStr">
        <is>
          <t>PG</t>
        </is>
      </c>
      <c r="E15" s="53" t="n"/>
      <c r="F15" s="111" t="inlineStr">
        <is>
          <t>ENVOLV FACE 30D</t>
        </is>
      </c>
      <c r="G15" s="53" t="n"/>
      <c r="H15" s="53" t="n"/>
      <c r="I15" s="53" t="n"/>
      <c r="J15" s="53" t="n"/>
    </row>
    <row r="16" ht="15.6" customHeight="1">
      <c r="A16" s="54" t="n">
        <v>45431</v>
      </c>
      <c r="B16" s="55" t="inlineStr">
        <is>
          <t>RICARDO</t>
        </is>
      </c>
      <c r="C16" s="194" t="n">
        <v>279</v>
      </c>
      <c r="D16" s="194" t="inlineStr">
        <is>
          <t>PG</t>
        </is>
      </c>
      <c r="E16" s="53" t="n"/>
      <c r="F16" s="53" t="n"/>
      <c r="G16" s="53" t="n"/>
      <c r="H16" s="53" t="n"/>
      <c r="I16" s="53" t="n"/>
      <c r="J16" s="53" t="n"/>
    </row>
    <row r="17" ht="15.6" customHeight="1">
      <c r="A17" s="54" t="n">
        <v>45432</v>
      </c>
      <c r="B17" s="55" t="inlineStr">
        <is>
          <t xml:space="preserve">DAVI </t>
        </is>
      </c>
      <c r="C17" s="194" t="n">
        <v>91</v>
      </c>
      <c r="D17" s="194" t="inlineStr">
        <is>
          <t>PG</t>
        </is>
      </c>
      <c r="E17" s="53" t="n"/>
      <c r="F17" s="53" t="n"/>
      <c r="G17" s="53" t="n"/>
      <c r="H17" s="53" t="n"/>
      <c r="I17" s="53" t="n"/>
      <c r="J17" s="53" t="n"/>
    </row>
    <row r="18" ht="15.6" customHeight="1">
      <c r="A18" s="54" t="n">
        <v>45433</v>
      </c>
      <c r="B18" s="55" t="inlineStr">
        <is>
          <t>ARTHUR</t>
        </is>
      </c>
      <c r="C18" s="194" t="n">
        <v>176</v>
      </c>
      <c r="D18" s="194" t="inlineStr">
        <is>
          <t>PG</t>
        </is>
      </c>
      <c r="E18" s="53" t="n">
        <v>2560</v>
      </c>
      <c r="F18" s="53" t="n">
        <v>1260</v>
      </c>
      <c r="G18" s="53" t="n"/>
      <c r="H18" s="53" t="n"/>
      <c r="I18" s="53" t="n"/>
      <c r="J18" s="53" t="n"/>
    </row>
    <row r="19" ht="15.6" customHeight="1">
      <c r="A19" s="54" t="n">
        <v>45435</v>
      </c>
      <c r="B19" s="55" t="inlineStr">
        <is>
          <t>ANDRE</t>
        </is>
      </c>
      <c r="C19" s="194" t="n">
        <v>154</v>
      </c>
      <c r="D19" s="194" t="inlineStr">
        <is>
          <t>AG</t>
        </is>
      </c>
      <c r="E19" s="53" t="n">
        <v>8255</v>
      </c>
      <c r="F19" s="53" t="n">
        <v>400</v>
      </c>
      <c r="G19" s="53" t="n"/>
      <c r="H19" s="53" t="n"/>
      <c r="I19" s="53" t="n"/>
      <c r="J19" s="53" t="n"/>
    </row>
    <row r="20" ht="15.6" customHeight="1">
      <c r="A20" s="54" t="n">
        <v>45436</v>
      </c>
      <c r="B20" s="55" t="inlineStr">
        <is>
          <t>EDER</t>
        </is>
      </c>
      <c r="C20" s="194" t="n">
        <v>144</v>
      </c>
      <c r="D20" s="194" t="inlineStr">
        <is>
          <t>PG</t>
        </is>
      </c>
      <c r="E20" s="53" t="inlineStr">
        <is>
          <t xml:space="preserve"> </t>
        </is>
      </c>
      <c r="F20" s="53" t="n"/>
      <c r="G20" s="53" t="n"/>
      <c r="H20" s="53" t="n"/>
      <c r="I20" s="53" t="n"/>
      <c r="J20" s="53" t="n"/>
    </row>
    <row r="21" ht="15.6" customHeight="1">
      <c r="A21" s="54" t="n">
        <v>45436</v>
      </c>
      <c r="B21" s="55" t="inlineStr">
        <is>
          <t>CARLOS EDUARDO</t>
        </is>
      </c>
      <c r="C21" s="194" t="n">
        <v>279</v>
      </c>
      <c r="D21" s="194" t="inlineStr">
        <is>
          <t>PG</t>
        </is>
      </c>
      <c r="E21" s="53" t="n"/>
      <c r="F21" s="98" t="inlineStr">
        <is>
          <t>HUMANIZAR A MARCA</t>
        </is>
      </c>
      <c r="G21" s="53" t="n"/>
      <c r="H21" s="53" t="n"/>
      <c r="I21" s="53" t="n"/>
      <c r="J21" s="53" t="n"/>
    </row>
    <row r="22" ht="15.6" customHeight="1">
      <c r="A22" s="54" t="n">
        <v>45436</v>
      </c>
      <c r="B22" s="55" t="inlineStr">
        <is>
          <t>THIAGO</t>
        </is>
      </c>
      <c r="C22" s="194" t="n">
        <v>1522</v>
      </c>
      <c r="D22" s="194" t="inlineStr">
        <is>
          <t>AG</t>
        </is>
      </c>
      <c r="E22" s="53" t="n"/>
      <c r="F22" s="98" t="inlineStr">
        <is>
          <t>INTERACAO NOS STORYS</t>
        </is>
      </c>
      <c r="G22" s="53" t="n"/>
      <c r="H22" s="53" t="n"/>
      <c r="I22" s="53" t="n"/>
      <c r="J22" s="53" t="n"/>
    </row>
    <row r="23" ht="15.6" customHeight="1">
      <c r="A23" s="54" t="n">
        <v>45437</v>
      </c>
      <c r="B23" s="55" t="inlineStr">
        <is>
          <t>KIOYJE</t>
        </is>
      </c>
      <c r="C23" s="194" t="n">
        <v>148</v>
      </c>
      <c r="D23" s="194" t="inlineStr">
        <is>
          <t>PG</t>
        </is>
      </c>
      <c r="E23" s="53" t="n"/>
      <c r="F23" s="53" t="n"/>
      <c r="G23" s="53" t="n"/>
      <c r="H23" s="53" t="n"/>
      <c r="I23" s="53" t="n"/>
      <c r="J23" s="53" t="n"/>
    </row>
    <row r="24" ht="15.6" customHeight="1">
      <c r="A24" s="54" t="n">
        <v>45439</v>
      </c>
      <c r="B24" s="55" t="inlineStr">
        <is>
          <t>RODRIGO</t>
        </is>
      </c>
      <c r="C24" s="194" t="n">
        <v>565</v>
      </c>
      <c r="D24" s="194" t="inlineStr">
        <is>
          <t>PG</t>
        </is>
      </c>
      <c r="E24" s="53" t="n"/>
      <c r="F24" s="53" t="n"/>
      <c r="G24" s="53" t="n"/>
      <c r="H24" s="53" t="n"/>
      <c r="I24" s="53" t="n"/>
      <c r="J24" s="53" t="n"/>
    </row>
    <row r="25" ht="15.6" customHeight="1">
      <c r="A25" s="54" t="n">
        <v>45440</v>
      </c>
      <c r="B25" s="55" t="inlineStr">
        <is>
          <t>ANDERSON</t>
        </is>
      </c>
      <c r="C25" s="194" t="n">
        <v>153</v>
      </c>
      <c r="D25" s="194" t="inlineStr">
        <is>
          <t>PG</t>
        </is>
      </c>
      <c r="E25" s="53" t="n"/>
      <c r="F25" s="53" t="n"/>
      <c r="G25" s="53" t="n"/>
      <c r="H25" s="53" t="n"/>
      <c r="I25" s="53" t="n"/>
      <c r="J25" s="53" t="n"/>
    </row>
    <row r="26" ht="15.6" customHeight="1">
      <c r="A26" s="54" t="n"/>
      <c r="B26" s="55" t="n"/>
      <c r="C26" s="194" t="n"/>
      <c r="D26" s="194" t="n"/>
      <c r="E26" s="53" t="n"/>
      <c r="F26" s="53" t="n"/>
      <c r="G26" s="53" t="n"/>
      <c r="H26" s="53" t="n"/>
      <c r="I26" s="53" t="n"/>
      <c r="J26" s="53" t="n"/>
    </row>
    <row r="27" ht="15.6" customHeight="1">
      <c r="A27" s="54" t="n"/>
      <c r="B27" s="55" t="n"/>
      <c r="C27" s="194" t="n"/>
      <c r="D27" s="194" t="n"/>
      <c r="E27" s="53" t="n"/>
      <c r="F27" s="53" t="n"/>
      <c r="G27" s="53" t="n"/>
      <c r="H27" s="53" t="n"/>
      <c r="I27" s="53" t="n"/>
      <c r="J27" s="53" t="n"/>
    </row>
    <row r="28" ht="15.6" customHeight="1">
      <c r="A28" s="54" t="n"/>
      <c r="B28" s="55" t="n"/>
      <c r="C28" s="194" t="n"/>
      <c r="D28" s="194" t="n"/>
      <c r="E28" s="53" t="n"/>
      <c r="F28" s="53" t="n"/>
      <c r="G28" s="53" t="n"/>
      <c r="H28" s="53" t="n"/>
      <c r="I28" s="53" t="n"/>
      <c r="J28" s="53" t="n"/>
    </row>
    <row r="29" ht="15.6" customHeight="1">
      <c r="A29" s="54" t="n"/>
      <c r="B29" s="55" t="n"/>
      <c r="C29" s="194" t="n"/>
      <c r="D29" s="194" t="n"/>
      <c r="E29" s="53" t="n"/>
      <c r="F29" s="53" t="n"/>
      <c r="G29" s="53" t="n"/>
      <c r="H29" s="53" t="n"/>
      <c r="I29" s="53" t="n"/>
      <c r="J29" s="53" t="n"/>
    </row>
    <row r="30" ht="15.6" customHeight="1">
      <c r="A30" s="54" t="n"/>
      <c r="B30" s="55" t="n"/>
      <c r="C30" s="194" t="n"/>
      <c r="D30" s="194" t="n"/>
      <c r="E30" s="53" t="n"/>
      <c r="F30" s="53" t="n"/>
      <c r="G30" s="53" t="n"/>
      <c r="H30" s="53" t="n"/>
      <c r="I30" s="53" t="n"/>
      <c r="J30" s="53" t="n"/>
    </row>
    <row r="31" ht="15.6" customHeight="1">
      <c r="A31" s="54" t="n"/>
      <c r="B31" s="55" t="n"/>
      <c r="C31" s="194" t="n"/>
      <c r="D31" s="194" t="n"/>
      <c r="E31" s="53" t="n"/>
      <c r="F31" s="53" t="n"/>
      <c r="G31" s="53" t="n"/>
      <c r="H31" s="53" t="n"/>
      <c r="I31" s="53" t="n"/>
      <c r="J31" s="53" t="n"/>
    </row>
    <row r="32" ht="15.6" customHeight="1">
      <c r="A32" s="54" t="n"/>
      <c r="B32" s="55" t="n"/>
      <c r="C32" s="194" t="n"/>
      <c r="D32" s="194" t="n"/>
      <c r="E32" s="53" t="n"/>
      <c r="F32" s="53" t="n"/>
      <c r="G32" s="53" t="n"/>
      <c r="H32" s="53" t="n"/>
      <c r="I32" s="53" t="n"/>
      <c r="J32" s="53" t="n"/>
    </row>
    <row r="33" ht="15.6" customHeight="1">
      <c r="A33" s="54" t="n"/>
      <c r="B33" s="55" t="n"/>
      <c r="C33" s="194" t="n"/>
      <c r="D33" s="194" t="n"/>
      <c r="E33" s="53" t="n"/>
      <c r="F33" s="53" t="n"/>
      <c r="G33" s="53" t="n"/>
      <c r="H33" s="53" t="n"/>
      <c r="I33" s="53" t="n"/>
      <c r="J33" s="53" t="n"/>
    </row>
    <row r="34" ht="15.6" customHeight="1">
      <c r="A34" s="54" t="n"/>
      <c r="B34" s="55" t="n"/>
      <c r="C34" s="194" t="n"/>
      <c r="D34" s="194" t="n"/>
      <c r="E34" s="53" t="n"/>
      <c r="F34" s="53" t="n"/>
      <c r="G34" s="53" t="n"/>
      <c r="H34" s="53" t="n"/>
      <c r="I34" s="53" t="n"/>
      <c r="J34" s="53" t="n"/>
    </row>
    <row r="35" ht="15.6" customHeight="1">
      <c r="A35" s="54" t="n"/>
      <c r="B35" s="55" t="n"/>
      <c r="C35" s="194" t="n"/>
      <c r="D35" s="194" t="n"/>
      <c r="E35" s="53" t="n"/>
      <c r="F35" s="53" t="n"/>
      <c r="G35" s="53" t="n"/>
      <c r="H35" s="53" t="n"/>
      <c r="I35" s="53" t="n"/>
      <c r="J35" s="53" t="n"/>
    </row>
    <row r="36" ht="15.6" customHeight="1">
      <c r="A36" s="54" t="n"/>
      <c r="B36" s="55" t="n"/>
      <c r="C36" s="194" t="n"/>
      <c r="D36" s="194" t="n"/>
      <c r="E36" s="53" t="n"/>
      <c r="F36" s="53" t="n"/>
      <c r="G36" s="53" t="n"/>
      <c r="H36" s="53" t="n"/>
      <c r="I36" s="53" t="n"/>
      <c r="J36" s="53" t="n"/>
    </row>
    <row r="37" ht="15.6" customHeight="1">
      <c r="A37" s="54" t="n"/>
      <c r="B37" s="55" t="n"/>
      <c r="C37" s="194" t="n"/>
      <c r="D37" s="194" t="n"/>
      <c r="E37" s="53" t="n"/>
      <c r="F37" s="53" t="n"/>
      <c r="G37" s="53" t="n"/>
      <c r="H37" s="53" t="n"/>
      <c r="I37" s="53" t="n"/>
      <c r="J37" s="53" t="n"/>
    </row>
    <row r="38" ht="15.6" customHeight="1">
      <c r="A38" s="54" t="n"/>
      <c r="B38" s="55" t="n"/>
      <c r="C38" s="194" t="n"/>
      <c r="D38" s="194" t="n"/>
      <c r="E38" s="53" t="n"/>
      <c r="F38" s="53" t="n"/>
      <c r="G38" s="53" t="n"/>
      <c r="H38" s="53" t="n"/>
      <c r="I38" s="53" t="n"/>
      <c r="J38" s="53" t="n"/>
    </row>
    <row r="39" ht="15.6" customHeight="1">
      <c r="A39" s="54" t="n"/>
      <c r="B39" s="55" t="n"/>
      <c r="C39" s="194" t="n"/>
      <c r="D39" s="194" t="n"/>
    </row>
    <row r="40" ht="15.6" customHeight="1">
      <c r="A40" s="54" t="n"/>
      <c r="B40" s="55" t="n"/>
      <c r="C40" s="194" t="n"/>
      <c r="D40" s="194" t="n"/>
    </row>
    <row r="41" ht="15.6" customHeight="1">
      <c r="A41" s="54" t="n"/>
      <c r="B41" s="55" t="n"/>
      <c r="C41" s="194" t="n"/>
      <c r="D41" s="194" t="n"/>
    </row>
    <row r="42" ht="15.6" customHeight="1">
      <c r="A42" s="54" t="n"/>
      <c r="B42" s="55" t="n"/>
      <c r="C42" s="194" t="n"/>
      <c r="D42" s="194" t="n"/>
    </row>
    <row r="43" ht="15.6" customHeight="1">
      <c r="A43" s="54" t="n"/>
      <c r="B43" s="55" t="n"/>
      <c r="C43" s="194" t="n"/>
      <c r="D43" s="194" t="n"/>
    </row>
    <row r="44" ht="15.6" customHeight="1">
      <c r="A44" s="54" t="n"/>
      <c r="B44" s="55" t="n"/>
      <c r="C44" s="194" t="n"/>
      <c r="D44" s="194" t="n"/>
    </row>
    <row r="45" ht="15.6" customHeight="1">
      <c r="A45" s="54" t="n"/>
      <c r="B45" s="55" t="n"/>
      <c r="C45" s="194" t="n"/>
      <c r="D45" s="194" t="n"/>
    </row>
    <row r="46" ht="15.6" customHeight="1">
      <c r="A46" s="54" t="n"/>
      <c r="B46" s="55" t="n"/>
      <c r="C46" s="194" t="n"/>
      <c r="D46" s="194" t="n"/>
    </row>
    <row r="47" ht="15.6" customHeight="1">
      <c r="A47" s="54" t="n"/>
      <c r="B47" s="55" t="n"/>
      <c r="C47" s="194" t="n"/>
      <c r="D47" s="194" t="n"/>
    </row>
    <row r="48" ht="15.6" customHeight="1">
      <c r="A48" s="54" t="n"/>
      <c r="B48" s="55" t="n"/>
      <c r="C48" s="194" t="n"/>
      <c r="D48" s="194" t="n"/>
    </row>
    <row r="49" ht="15.6" customHeight="1">
      <c r="A49" s="54" t="n"/>
      <c r="B49" s="55" t="n"/>
      <c r="C49" s="194" t="n"/>
      <c r="D49" s="194" t="n"/>
    </row>
  </sheetData>
  <mergeCells count="2">
    <mergeCell ref="E2:E3"/>
    <mergeCell ref="G6:H6"/>
  </mergeCells>
  <conditionalFormatting sqref="D2:D1048576">
    <cfRule type="containsText" priority="1" operator="containsText" dxfId="1" text="AG">
      <formula>NOT(ISERROR(SEARCH("AG",D2)))</formula>
    </cfRule>
    <cfRule type="containsText" priority="2" operator="containsText" dxfId="0" text="PG">
      <formula>NOT(ISERROR(SEARCH("PG",D2)))</formula>
    </cfRule>
  </conditionalFormatting>
  <dataValidations count="1">
    <dataValidation sqref="D2:D1048576" showDropDown="0" showInputMessage="1" showErrorMessage="1" allowBlank="1" type="list">
      <formula1>"PG,AG"</formula1>
    </dataValidation>
  </dataValidations>
  <pageMargins left="0.511811024" right="0.511811024" top="0.787401575" bottom="0.787401575" header="0.31496062" footer="0.3149606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9"/>
  <sheetViews>
    <sheetView zoomScale="110" zoomScaleNormal="110" workbookViewId="0">
      <selection activeCell="E18" sqref="E18:E19"/>
    </sheetView>
  </sheetViews>
  <sheetFormatPr baseColWidth="8" defaultRowHeight="14.4"/>
  <cols>
    <col width="17.44140625" customWidth="1" min="1" max="1"/>
    <col width="34.5546875" customWidth="1" min="2" max="2"/>
    <col width="15.88671875" customWidth="1" min="3" max="3"/>
    <col width="17.44140625" customWidth="1" min="4" max="4"/>
    <col width="40.44140625" customWidth="1" min="5" max="5"/>
    <col width="32.88671875" customWidth="1" min="6" max="6"/>
    <col width="18.33203125" bestFit="1" customWidth="1" min="7" max="8"/>
    <col width="27.6640625" bestFit="1" customWidth="1" min="9" max="9"/>
  </cols>
  <sheetData>
    <row r="1" ht="30" customFormat="1" customHeight="1" s="91">
      <c r="A1" s="83" t="inlineStr">
        <is>
          <t>DATA</t>
        </is>
      </c>
      <c r="B1" s="83" t="inlineStr">
        <is>
          <t>NOME</t>
        </is>
      </c>
      <c r="C1" s="193" t="inlineStr">
        <is>
          <t xml:space="preserve"> VALOR</t>
        </is>
      </c>
      <c r="D1" s="83" t="inlineStr">
        <is>
          <t>STATUS</t>
        </is>
      </c>
      <c r="E1" s="85" t="inlineStr">
        <is>
          <t>FAT. TOTAL</t>
        </is>
      </c>
      <c r="F1" s="86" t="inlineStr">
        <is>
          <t>INVEST.TOTAL</t>
        </is>
      </c>
      <c r="G1" s="87" t="inlineStr">
        <is>
          <t>FACEBOOK</t>
        </is>
      </c>
      <c r="H1" s="88" t="inlineStr">
        <is>
          <t>GOOGLE</t>
        </is>
      </c>
      <c r="I1" s="89" t="inlineStr">
        <is>
          <t>CUSTO PRODUTOS</t>
        </is>
      </c>
      <c r="J1" s="90" t="n"/>
    </row>
    <row r="2" ht="22.8" customHeight="1">
      <c r="A2" s="54" t="n">
        <v>45444</v>
      </c>
      <c r="B2" s="55" t="inlineStr">
        <is>
          <t>WAGNER</t>
        </is>
      </c>
      <c r="C2" s="194" t="n">
        <v>720</v>
      </c>
      <c r="D2" s="194" t="inlineStr">
        <is>
          <t>PG</t>
        </is>
      </c>
      <c r="E2" s="195">
        <f>SUM(C1:C193)</f>
        <v/>
      </c>
      <c r="F2" s="196">
        <f>SUM(G2+H2)</f>
        <v/>
      </c>
      <c r="G2" s="197" t="n">
        <v>577</v>
      </c>
      <c r="H2" s="198" t="n">
        <v>315</v>
      </c>
      <c r="I2" s="199" t="n"/>
      <c r="J2" s="53" t="n"/>
    </row>
    <row r="3" ht="26.25" customHeight="1">
      <c r="A3" s="54" t="n">
        <v>45445</v>
      </c>
      <c r="B3" s="55" t="inlineStr">
        <is>
          <t>JULIANA</t>
        </is>
      </c>
      <c r="C3" s="194" t="n">
        <v>152</v>
      </c>
      <c r="D3" s="194" t="inlineStr">
        <is>
          <t>PG</t>
        </is>
      </c>
      <c r="E3" s="200" t="n"/>
      <c r="F3" s="201" t="n"/>
      <c r="G3" s="201" t="n"/>
      <c r="H3" s="201" t="n"/>
      <c r="I3" s="53" t="n"/>
      <c r="J3" s="53" t="n"/>
    </row>
    <row r="4" ht="22.2" customHeight="1">
      <c r="A4" s="54" t="n">
        <v>45446</v>
      </c>
      <c r="B4" s="55" t="inlineStr">
        <is>
          <t>CHRISTOFER</t>
        </is>
      </c>
      <c r="C4" s="194" t="n">
        <v>272</v>
      </c>
      <c r="D4" s="194" t="inlineStr">
        <is>
          <t>PG</t>
        </is>
      </c>
      <c r="E4" s="94" t="inlineStr">
        <is>
          <t>META</t>
        </is>
      </c>
      <c r="F4" s="95" t="inlineStr">
        <is>
          <t>3,5X ROI</t>
        </is>
      </c>
      <c r="G4" s="53" t="n"/>
      <c r="H4" s="53" t="n"/>
      <c r="I4" s="53" t="n"/>
      <c r="J4" s="53" t="n"/>
    </row>
    <row r="5" ht="15.6" customHeight="1">
      <c r="A5" s="54" t="n">
        <v>45448</v>
      </c>
      <c r="B5" s="55" t="inlineStr">
        <is>
          <t>ANA IZABEL</t>
        </is>
      </c>
      <c r="C5" s="194" t="n">
        <v>602</v>
      </c>
      <c r="D5" s="194" t="inlineStr">
        <is>
          <t>PG</t>
        </is>
      </c>
      <c r="E5" s="53" t="n"/>
      <c r="F5" s="53" t="n"/>
      <c r="G5" s="53" t="n"/>
      <c r="H5" s="53" t="n"/>
      <c r="I5" s="53" t="n"/>
      <c r="J5" s="53" t="n"/>
    </row>
    <row r="6" ht="16.8" customHeight="1">
      <c r="A6" s="54" t="n">
        <v>45449</v>
      </c>
      <c r="B6" s="55" t="inlineStr">
        <is>
          <t>WALTER</t>
        </is>
      </c>
      <c r="C6" s="194" t="n">
        <v>289</v>
      </c>
      <c r="D6" s="194" t="inlineStr">
        <is>
          <t>PG</t>
        </is>
      </c>
      <c r="E6" s="112" t="inlineStr">
        <is>
          <t xml:space="preserve"> LIQUIDO</t>
        </is>
      </c>
      <c r="F6" s="113" t="inlineStr">
        <is>
          <t>ROI ATUAL</t>
        </is>
      </c>
      <c r="G6" s="139" t="inlineStr">
        <is>
          <t>retorno sobre investimento</t>
        </is>
      </c>
      <c r="H6" s="202" t="n"/>
      <c r="I6" s="53" t="n"/>
      <c r="J6" s="53" t="n"/>
    </row>
    <row r="7" ht="22.2" customHeight="1">
      <c r="A7" s="54" t="n">
        <v>45449</v>
      </c>
      <c r="B7" s="55" t="inlineStr">
        <is>
          <t>RENATO</t>
        </is>
      </c>
      <c r="C7" s="194" t="n">
        <v>193</v>
      </c>
      <c r="D7" s="194" t="inlineStr">
        <is>
          <t>PG</t>
        </is>
      </c>
      <c r="E7" s="203">
        <f>SUM(C2:C6,C7:C8,C9:C10,C11:C13,C14:C23,C25,C27:C28,C35:C39,C41,C43:C48)</f>
        <v/>
      </c>
      <c r="F7" s="59">
        <f>E2/F2</f>
        <v/>
      </c>
      <c r="G7" s="53" t="n"/>
      <c r="H7" s="53" t="n"/>
      <c r="I7" s="53" t="n"/>
      <c r="J7" s="53" t="n"/>
    </row>
    <row r="8" ht="22.2" customHeight="1">
      <c r="A8" s="54" t="n">
        <v>45450</v>
      </c>
      <c r="B8" s="55" t="inlineStr">
        <is>
          <t>ALEXANDRE</t>
        </is>
      </c>
      <c r="C8" s="194" t="n">
        <v>440</v>
      </c>
      <c r="D8" s="194" t="inlineStr">
        <is>
          <t>PG</t>
        </is>
      </c>
      <c r="E8" s="59">
        <f>E7/F2</f>
        <v/>
      </c>
      <c r="F8" s="53" t="n"/>
      <c r="G8" s="53" t="n"/>
      <c r="H8" s="53" t="n"/>
      <c r="I8" s="53" t="n"/>
      <c r="J8" s="53" t="n"/>
    </row>
    <row r="9" ht="15.6" customHeight="1">
      <c r="A9" s="54" t="n">
        <v>45452</v>
      </c>
      <c r="B9" s="55" t="inlineStr">
        <is>
          <t>JOAO</t>
        </is>
      </c>
      <c r="C9" s="194" t="n">
        <v>489</v>
      </c>
      <c r="D9" s="194" t="inlineStr">
        <is>
          <t>PG</t>
        </is>
      </c>
      <c r="E9" s="53" t="n"/>
      <c r="F9" s="204" t="n"/>
      <c r="G9" s="53" t="n"/>
      <c r="H9" s="53" t="n"/>
      <c r="I9" s="53" t="n"/>
      <c r="J9" s="53" t="n"/>
    </row>
    <row r="10" ht="15.6" customHeight="1">
      <c r="A10" s="54" t="n">
        <v>45452</v>
      </c>
      <c r="B10" s="55" t="inlineStr">
        <is>
          <t>RAPHAEL</t>
        </is>
      </c>
      <c r="C10" s="194" t="n">
        <v>183</v>
      </c>
      <c r="D10" s="194" t="inlineStr">
        <is>
          <t>PG</t>
        </is>
      </c>
      <c r="E10" s="98" t="inlineStr">
        <is>
          <t>alcance</t>
        </is>
      </c>
      <c r="F10" s="98" t="inlineStr">
        <is>
          <t>RMK</t>
        </is>
      </c>
      <c r="G10" s="53" t="n"/>
      <c r="H10" s="53" t="n"/>
      <c r="I10" s="53" t="n"/>
      <c r="J10" s="53" t="n"/>
    </row>
    <row r="11" ht="15.6" customHeight="1">
      <c r="A11" s="54" t="n">
        <v>45453</v>
      </c>
      <c r="B11" s="55" t="inlineStr">
        <is>
          <t>PEDRO</t>
        </is>
      </c>
      <c r="C11" s="194" t="n">
        <v>148</v>
      </c>
      <c r="D11" s="194" t="inlineStr">
        <is>
          <t>PG</t>
        </is>
      </c>
      <c r="E11" s="98" t="inlineStr">
        <is>
          <t>regiao</t>
        </is>
      </c>
      <c r="F11" s="98" t="inlineStr">
        <is>
          <t>PAGE VIEW ACESSORIOS 15D</t>
        </is>
      </c>
      <c r="G11" s="53" t="n"/>
      <c r="H11" s="53" t="n"/>
      <c r="I11" s="53" t="n"/>
      <c r="J11" s="53" t="n"/>
    </row>
    <row r="12" ht="15.6" customHeight="1">
      <c r="A12" s="54" t="n">
        <v>45453</v>
      </c>
      <c r="B12" s="55" t="inlineStr">
        <is>
          <t>LUANA</t>
        </is>
      </c>
      <c r="C12" s="194" t="n">
        <v>148</v>
      </c>
      <c r="D12" s="194" t="inlineStr">
        <is>
          <t>PG</t>
        </is>
      </c>
      <c r="E12" s="98" t="inlineStr">
        <is>
          <t>produto campeao</t>
        </is>
      </c>
      <c r="F12" s="110" t="inlineStr">
        <is>
          <t>ADC AO CARRINHO 7D</t>
        </is>
      </c>
      <c r="G12" s="53" t="n"/>
      <c r="H12" s="53" t="n"/>
      <c r="I12" s="53" t="n"/>
      <c r="J12" s="53" t="n"/>
    </row>
    <row r="13" ht="15.6" customHeight="1">
      <c r="A13" s="54" t="n">
        <v>45455</v>
      </c>
      <c r="B13" s="55" t="inlineStr">
        <is>
          <t>RAPHAELA</t>
        </is>
      </c>
      <c r="C13" s="194" t="n">
        <v>565</v>
      </c>
      <c r="D13" s="194" t="inlineStr">
        <is>
          <t>PG</t>
        </is>
      </c>
      <c r="E13" s="98" t="n"/>
      <c r="F13" s="110" t="inlineStr">
        <is>
          <t>FINALIZA 7D</t>
        </is>
      </c>
      <c r="G13" s="53" t="n"/>
      <c r="H13" s="53" t="n"/>
      <c r="I13" s="53" t="n"/>
      <c r="J13" s="53" t="n"/>
    </row>
    <row r="14" ht="15.6" customHeight="1">
      <c r="A14" s="54" t="n">
        <v>45456</v>
      </c>
      <c r="B14" s="55" t="inlineStr">
        <is>
          <t>MATHEUS</t>
        </is>
      </c>
      <c r="C14" s="194" t="n">
        <v>780</v>
      </c>
      <c r="D14" s="194" t="inlineStr">
        <is>
          <t>PG</t>
        </is>
      </c>
      <c r="E14" s="98" t="n">
        <v>3141</v>
      </c>
      <c r="F14" s="111" t="inlineStr">
        <is>
          <t>ENVOLV INSTA 30D</t>
        </is>
      </c>
      <c r="G14" s="53" t="n"/>
      <c r="H14" s="53" t="n"/>
      <c r="I14" s="53" t="n"/>
      <c r="J14" s="53" t="n"/>
    </row>
    <row r="15" ht="15.6" customHeight="1">
      <c r="A15" s="54" t="n">
        <v>45461</v>
      </c>
      <c r="B15" s="55" t="inlineStr">
        <is>
          <t>MAIKON</t>
        </is>
      </c>
      <c r="C15" s="194" t="n">
        <v>465</v>
      </c>
      <c r="D15" s="194" t="inlineStr">
        <is>
          <t>PG</t>
        </is>
      </c>
      <c r="E15" s="98" t="n">
        <v>5654</v>
      </c>
      <c r="F15" s="111" t="inlineStr">
        <is>
          <t>ENVOLV FACE 30D</t>
        </is>
      </c>
      <c r="G15" s="53" t="n"/>
      <c r="H15" s="53" t="n"/>
      <c r="I15" s="53" t="n"/>
      <c r="J15" s="53" t="n"/>
    </row>
    <row r="16" ht="15.6" customHeight="1">
      <c r="A16" s="54" t="n">
        <v>45463</v>
      </c>
      <c r="B16" s="55" t="inlineStr">
        <is>
          <t>CAIO MUSKA</t>
        </is>
      </c>
      <c r="C16" s="194" t="n">
        <v>208</v>
      </c>
      <c r="D16" s="194" t="inlineStr">
        <is>
          <t>PG</t>
        </is>
      </c>
      <c r="E16" s="53" t="n"/>
      <c r="F16" s="53" t="n"/>
      <c r="G16" s="53" t="n"/>
      <c r="H16" s="53" t="n"/>
      <c r="I16" s="53" t="n"/>
      <c r="J16" s="53" t="n"/>
    </row>
    <row r="17" ht="15.6" customHeight="1">
      <c r="A17" s="54" t="n">
        <v>45465</v>
      </c>
      <c r="B17" s="55" t="inlineStr">
        <is>
          <t>ANDERSON</t>
        </is>
      </c>
      <c r="C17" s="194" t="n">
        <v>189</v>
      </c>
      <c r="D17" s="194" t="inlineStr">
        <is>
          <t>PG</t>
        </is>
      </c>
      <c r="E17" s="53" t="n"/>
      <c r="F17" s="53" t="n"/>
      <c r="G17" s="53" t="n"/>
      <c r="H17" s="53" t="n"/>
      <c r="I17" s="53" t="n"/>
      <c r="J17" s="53" t="n"/>
    </row>
    <row r="18" ht="15.6" customHeight="1">
      <c r="A18" s="54" t="n">
        <v>45467</v>
      </c>
      <c r="B18" s="55" t="inlineStr">
        <is>
          <t>MARCIA</t>
        </is>
      </c>
      <c r="C18" s="194" t="n">
        <v>156</v>
      </c>
      <c r="D18" s="194" t="inlineStr">
        <is>
          <t>PG</t>
        </is>
      </c>
      <c r="E18" s="53" t="n">
        <v>1200</v>
      </c>
      <c r="F18" s="53" t="n"/>
      <c r="G18" s="53" t="n"/>
      <c r="H18" s="53" t="n"/>
      <c r="I18" s="53" t="n"/>
      <c r="J18" s="53" t="n"/>
    </row>
    <row r="19" ht="15.6" customHeight="1">
      <c r="A19" s="54" t="n">
        <v>45467</v>
      </c>
      <c r="B19" s="55" t="inlineStr">
        <is>
          <t>ALESSANDRO</t>
        </is>
      </c>
      <c r="C19" s="194" t="n">
        <v>84</v>
      </c>
      <c r="D19" s="194" t="inlineStr">
        <is>
          <t>PG</t>
        </is>
      </c>
      <c r="E19" s="53" t="n">
        <v>6200</v>
      </c>
      <c r="F19" s="53" t="n"/>
      <c r="G19" s="53" t="n"/>
      <c r="H19" s="53" t="n"/>
      <c r="I19" s="53" t="n"/>
      <c r="J19" s="53" t="n"/>
    </row>
    <row r="20" ht="15.6" customHeight="1">
      <c r="A20" s="54" t="n">
        <v>45467</v>
      </c>
      <c r="B20" s="55" t="inlineStr">
        <is>
          <t>BRUNO</t>
        </is>
      </c>
      <c r="C20" s="194" t="n">
        <v>293</v>
      </c>
      <c r="D20" s="194" t="inlineStr">
        <is>
          <t>PG</t>
        </is>
      </c>
      <c r="E20" s="53" t="inlineStr">
        <is>
          <t xml:space="preserve"> </t>
        </is>
      </c>
      <c r="F20" s="53" t="n"/>
      <c r="G20" s="53" t="n"/>
      <c r="H20" s="53" t="n"/>
      <c r="I20" s="53" t="n"/>
      <c r="J20" s="53" t="n"/>
    </row>
    <row r="21" ht="15.6" customHeight="1">
      <c r="A21" s="54" t="n">
        <v>45469</v>
      </c>
      <c r="B21" s="55" t="inlineStr">
        <is>
          <t>JOSE</t>
        </is>
      </c>
      <c r="C21" s="194" t="n">
        <v>434</v>
      </c>
      <c r="D21" s="194" t="inlineStr">
        <is>
          <t>PG</t>
        </is>
      </c>
      <c r="E21" s="53" t="n"/>
      <c r="F21" s="98" t="inlineStr">
        <is>
          <t>HUMANIZAR A MARCA</t>
        </is>
      </c>
      <c r="G21" s="53" t="n"/>
      <c r="H21" s="53" t="n"/>
      <c r="I21" s="53" t="n"/>
      <c r="J21" s="53" t="n"/>
    </row>
    <row r="22" ht="15.6" customHeight="1">
      <c r="A22" s="54" t="n">
        <v>38895</v>
      </c>
      <c r="B22" s="55" t="inlineStr">
        <is>
          <t>LUIS</t>
        </is>
      </c>
      <c r="C22" s="194" t="n">
        <v>757</v>
      </c>
      <c r="D22" s="194" t="inlineStr">
        <is>
          <t>PG</t>
        </is>
      </c>
      <c r="E22" s="53" t="n"/>
      <c r="F22" s="98" t="inlineStr">
        <is>
          <t>INTERACAO NOS STORYS</t>
        </is>
      </c>
      <c r="G22" s="53" t="n"/>
      <c r="H22" s="53" t="n"/>
      <c r="I22" s="53" t="n"/>
      <c r="J22" s="53" t="n"/>
    </row>
    <row r="23" ht="15.6" customHeight="1">
      <c r="A23" s="54" t="n">
        <v>45472</v>
      </c>
      <c r="B23" s="55" t="inlineStr">
        <is>
          <t>ALFREDO</t>
        </is>
      </c>
      <c r="C23" s="194" t="n">
        <v>866</v>
      </c>
      <c r="D23" s="194" t="inlineStr">
        <is>
          <t>PG</t>
        </is>
      </c>
      <c r="E23" s="53" t="n"/>
      <c r="F23" s="53" t="n"/>
      <c r="G23" s="53" t="n"/>
      <c r="H23" s="53" t="n"/>
      <c r="I23" s="53" t="n"/>
      <c r="J23" s="53" t="n"/>
    </row>
    <row r="24" ht="15.6" customHeight="1">
      <c r="A24" s="54" t="n"/>
      <c r="B24" s="55" t="n"/>
      <c r="C24" s="194" t="n"/>
      <c r="D24" s="194" t="n"/>
      <c r="E24" s="53" t="n"/>
      <c r="F24" s="53" t="n"/>
      <c r="G24" s="53" t="n"/>
      <c r="H24" s="53" t="n"/>
      <c r="I24" s="53" t="n"/>
      <c r="J24" s="53" t="n"/>
    </row>
    <row r="25" ht="15.6" customHeight="1">
      <c r="A25" s="54" t="n"/>
      <c r="B25" s="55" t="n"/>
      <c r="C25" s="194" t="n"/>
      <c r="D25" s="194" t="n"/>
      <c r="E25" s="53" t="n"/>
      <c r="F25" s="53" t="n"/>
      <c r="G25" s="53" t="n"/>
      <c r="H25" s="53" t="n"/>
      <c r="I25" s="53" t="n"/>
      <c r="J25" s="53" t="n"/>
    </row>
    <row r="26" ht="15.6" customHeight="1">
      <c r="A26" s="54" t="n"/>
      <c r="B26" s="55" t="n"/>
      <c r="C26" s="194" t="n"/>
      <c r="D26" s="194" t="n"/>
      <c r="E26" s="53" t="n"/>
      <c r="F26" s="53" t="n"/>
      <c r="G26" s="53" t="n"/>
      <c r="H26" s="53" t="n"/>
      <c r="I26" s="53" t="n"/>
      <c r="J26" s="53" t="n"/>
    </row>
    <row r="27" ht="15.6" customHeight="1">
      <c r="A27" s="54" t="n"/>
      <c r="B27" s="55" t="n"/>
      <c r="C27" s="194" t="n"/>
      <c r="D27" s="194" t="n"/>
      <c r="E27" s="53" t="n"/>
      <c r="F27" s="53" t="n"/>
      <c r="G27" s="53" t="n"/>
      <c r="H27" s="53" t="n"/>
      <c r="I27" s="53" t="n"/>
      <c r="J27" s="53" t="n"/>
    </row>
    <row r="28" ht="15.6" customHeight="1">
      <c r="A28" s="54" t="n"/>
      <c r="B28" s="55" t="n"/>
      <c r="C28" s="194" t="n"/>
      <c r="D28" s="194" t="n"/>
      <c r="E28" s="53" t="n"/>
      <c r="F28" s="53" t="n"/>
      <c r="G28" s="53" t="n"/>
      <c r="H28" s="53" t="n"/>
      <c r="I28" s="53" t="n"/>
      <c r="J28" s="53" t="n"/>
    </row>
    <row r="29" ht="15.6" customHeight="1">
      <c r="A29" s="54" t="n"/>
      <c r="B29" s="55" t="n"/>
      <c r="C29" s="194" t="n"/>
      <c r="D29" s="194" t="n"/>
      <c r="E29" s="53" t="n"/>
      <c r="F29" s="53" t="n"/>
      <c r="G29" s="53" t="n"/>
      <c r="H29" s="53" t="n"/>
      <c r="I29" s="53" t="n"/>
      <c r="J29" s="53" t="n"/>
    </row>
    <row r="30" ht="15.6" customHeight="1">
      <c r="A30" s="54" t="n"/>
      <c r="B30" s="55" t="n"/>
      <c r="C30" s="194" t="n"/>
      <c r="D30" s="194" t="n"/>
      <c r="E30" s="53" t="n"/>
      <c r="F30" s="53" t="n"/>
      <c r="G30" s="53" t="n"/>
      <c r="H30" s="53" t="n"/>
      <c r="I30" s="53" t="n"/>
      <c r="J30" s="53" t="n"/>
    </row>
    <row r="31" ht="15.6" customHeight="1">
      <c r="A31" s="54" t="n"/>
      <c r="B31" s="55" t="n"/>
      <c r="C31" s="194" t="n"/>
      <c r="D31" s="194" t="n"/>
      <c r="E31" s="53" t="n"/>
      <c r="F31" s="53" t="n"/>
      <c r="G31" s="53" t="n"/>
      <c r="H31" s="53" t="n"/>
      <c r="I31" s="53" t="n"/>
      <c r="J31" s="53" t="n"/>
    </row>
    <row r="32" ht="15.6" customHeight="1">
      <c r="A32" s="54" t="n"/>
      <c r="B32" s="55" t="n"/>
      <c r="C32" s="194" t="n"/>
      <c r="D32" s="194" t="n"/>
      <c r="E32" s="53" t="n"/>
      <c r="F32" s="53" t="n"/>
      <c r="G32" s="53" t="n"/>
      <c r="H32" s="53" t="n"/>
      <c r="I32" s="53" t="n"/>
      <c r="J32" s="53" t="n"/>
    </row>
    <row r="33" ht="15.6" customHeight="1">
      <c r="A33" s="54" t="n"/>
      <c r="B33" s="55" t="n"/>
      <c r="C33" s="194" t="n"/>
      <c r="D33" s="194" t="n"/>
      <c r="E33" s="53" t="n"/>
      <c r="F33" s="53" t="n"/>
      <c r="G33" s="53" t="n"/>
      <c r="H33" s="53" t="n"/>
      <c r="I33" s="53" t="n"/>
      <c r="J33" s="53" t="n"/>
    </row>
    <row r="34" ht="15.6" customHeight="1">
      <c r="A34" s="54" t="n"/>
      <c r="B34" s="55" t="n"/>
      <c r="C34" s="194" t="n"/>
      <c r="D34" s="194" t="n"/>
      <c r="E34" s="53" t="n"/>
      <c r="F34" s="53" t="n"/>
      <c r="G34" s="53" t="n"/>
      <c r="H34" s="53" t="n"/>
      <c r="I34" s="53" t="n"/>
      <c r="J34" s="53" t="n"/>
    </row>
    <row r="35" ht="15.6" customHeight="1">
      <c r="A35" s="54" t="n"/>
      <c r="B35" s="55" t="n"/>
      <c r="C35" s="194" t="n"/>
      <c r="D35" s="194" t="n"/>
      <c r="E35" s="53" t="n"/>
      <c r="F35" s="53" t="n"/>
      <c r="G35" s="53" t="n"/>
      <c r="H35" s="53" t="n"/>
      <c r="I35" s="53" t="n"/>
      <c r="J35" s="53" t="n"/>
    </row>
    <row r="36" ht="15.6" customHeight="1">
      <c r="A36" s="54" t="n"/>
      <c r="B36" s="55" t="n"/>
      <c r="C36" s="194" t="n"/>
      <c r="D36" s="194" t="n"/>
      <c r="E36" s="53" t="n"/>
      <c r="F36" s="53" t="n"/>
      <c r="G36" s="53" t="n"/>
      <c r="H36" s="53" t="n"/>
      <c r="I36" s="53" t="n"/>
      <c r="J36" s="53" t="n"/>
    </row>
    <row r="37" ht="15.6" customHeight="1">
      <c r="A37" s="54" t="n"/>
      <c r="B37" s="55" t="n"/>
      <c r="C37" s="194" t="n"/>
      <c r="D37" s="194" t="n"/>
      <c r="E37" s="53" t="n"/>
      <c r="F37" s="53" t="n"/>
      <c r="G37" s="53" t="n"/>
      <c r="H37" s="53" t="n"/>
      <c r="I37" s="53" t="n"/>
      <c r="J37" s="53" t="n"/>
    </row>
    <row r="38" ht="15.6" customHeight="1">
      <c r="A38" s="54" t="n"/>
      <c r="B38" s="55" t="n"/>
      <c r="C38" s="194" t="n"/>
      <c r="D38" s="194" t="n"/>
      <c r="E38" s="53" t="n"/>
      <c r="F38" s="53" t="n"/>
      <c r="G38" s="53" t="n"/>
      <c r="H38" s="53" t="n"/>
      <c r="I38" s="53" t="n"/>
      <c r="J38" s="53" t="n"/>
    </row>
    <row r="39" ht="15.6" customHeight="1">
      <c r="A39" s="54" t="n"/>
      <c r="B39" s="55" t="n"/>
      <c r="C39" s="194" t="n"/>
      <c r="D39" s="194" t="n"/>
    </row>
    <row r="40" ht="15.6" customHeight="1">
      <c r="A40" s="54" t="n"/>
      <c r="B40" s="55" t="n"/>
      <c r="C40" s="194" t="n"/>
      <c r="D40" s="194" t="n"/>
    </row>
    <row r="41" ht="15.6" customHeight="1">
      <c r="A41" s="54" t="n"/>
      <c r="B41" s="55" t="n"/>
      <c r="C41" s="194" t="n"/>
      <c r="D41" s="194" t="n"/>
    </row>
    <row r="42" ht="15.6" customHeight="1">
      <c r="A42" s="54" t="n"/>
      <c r="B42" s="55" t="n"/>
      <c r="C42" s="194" t="n"/>
      <c r="D42" s="194" t="n"/>
    </row>
    <row r="43" ht="15.6" customHeight="1">
      <c r="A43" s="54" t="n"/>
      <c r="B43" s="55" t="n"/>
      <c r="C43" s="194" t="n"/>
      <c r="D43" s="194" t="n"/>
    </row>
    <row r="44" ht="15.6" customHeight="1">
      <c r="A44" s="54" t="n"/>
      <c r="B44" s="55" t="n"/>
      <c r="C44" s="194" t="n"/>
      <c r="D44" s="194" t="n"/>
    </row>
    <row r="45" ht="15.6" customHeight="1">
      <c r="A45" s="54" t="n"/>
      <c r="B45" s="55" t="n"/>
      <c r="C45" s="194" t="n"/>
      <c r="D45" s="194" t="n"/>
    </row>
    <row r="46" ht="15.6" customHeight="1">
      <c r="A46" s="54" t="n"/>
      <c r="B46" s="55" t="n"/>
      <c r="C46" s="194" t="n"/>
      <c r="D46" s="194" t="n"/>
    </row>
    <row r="47" ht="15.6" customHeight="1">
      <c r="A47" s="54" t="n"/>
      <c r="B47" s="55" t="n"/>
      <c r="C47" s="194" t="n"/>
      <c r="D47" s="194" t="n"/>
    </row>
    <row r="48" ht="15.6" customHeight="1">
      <c r="A48" s="54" t="n"/>
      <c r="B48" s="55" t="n"/>
      <c r="C48" s="194" t="n"/>
      <c r="D48" s="194" t="n"/>
    </row>
    <row r="49" ht="15.6" customHeight="1">
      <c r="A49" s="54" t="n"/>
      <c r="B49" s="55" t="n"/>
      <c r="C49" s="194" t="n"/>
      <c r="D49" s="194" t="n"/>
    </row>
  </sheetData>
  <mergeCells count="2">
    <mergeCell ref="E2:E3"/>
    <mergeCell ref="G6:H6"/>
  </mergeCells>
  <conditionalFormatting sqref="D2:D1048576">
    <cfRule type="containsText" priority="1" operator="containsText" dxfId="1" text="AG">
      <formula>NOT(ISERROR(SEARCH("AG",D2)))</formula>
    </cfRule>
    <cfRule type="containsText" priority="2" operator="containsText" dxfId="0" text="PG">
      <formula>NOT(ISERROR(SEARCH("PG",D2)))</formula>
    </cfRule>
  </conditionalFormatting>
  <dataValidations count="1">
    <dataValidation sqref="D2:D1048576" showDropDown="0" showInputMessage="1" showErrorMessage="1" allowBlank="1" type="list">
      <formula1>"PG,AG"</formula1>
    </dataValidation>
  </dataValidations>
  <pageMargins left="0.511811024" right="0.511811024" top="0.787401575" bottom="0.787401575" header="0.31496062" footer="0.3149606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9"/>
  <sheetViews>
    <sheetView zoomScale="120" zoomScaleNormal="120" workbookViewId="0">
      <selection activeCell="E13" sqref="E13"/>
    </sheetView>
  </sheetViews>
  <sheetFormatPr baseColWidth="8" defaultRowHeight="14.4"/>
  <cols>
    <col width="17.44140625" customWidth="1" min="1" max="1"/>
    <col width="34.5546875" customWidth="1" min="2" max="2"/>
    <col width="15.88671875" customWidth="1" min="3" max="3"/>
    <col width="17.44140625" customWidth="1" min="4" max="4"/>
    <col width="40.44140625" customWidth="1" min="5" max="5"/>
    <col width="32.88671875" customWidth="1" min="6" max="6"/>
    <col width="18.33203125" bestFit="1" customWidth="1" min="7" max="8"/>
    <col width="27.6640625" bestFit="1" customWidth="1" min="9" max="9"/>
  </cols>
  <sheetData>
    <row r="1" ht="30" customFormat="1" customHeight="1" s="91">
      <c r="A1" s="83" t="inlineStr">
        <is>
          <t>DATA</t>
        </is>
      </c>
      <c r="B1" s="83" t="inlineStr">
        <is>
          <t>NOME</t>
        </is>
      </c>
      <c r="C1" s="193" t="inlineStr">
        <is>
          <t xml:space="preserve"> VALOR</t>
        </is>
      </c>
      <c r="D1" s="83" t="inlineStr">
        <is>
          <t>STATUS</t>
        </is>
      </c>
      <c r="E1" s="85" t="inlineStr">
        <is>
          <t>FAT. TOTAL</t>
        </is>
      </c>
      <c r="F1" s="86" t="inlineStr">
        <is>
          <t>INVEST.TOTAL</t>
        </is>
      </c>
      <c r="G1" s="87" t="inlineStr">
        <is>
          <t>FACEBOOK</t>
        </is>
      </c>
      <c r="H1" s="88" t="inlineStr">
        <is>
          <t>GOOGLE</t>
        </is>
      </c>
      <c r="I1" s="89" t="inlineStr">
        <is>
          <t>CUSTO PRODUTOS</t>
        </is>
      </c>
      <c r="J1" s="90" t="n"/>
    </row>
    <row r="2" ht="22.8" customHeight="1">
      <c r="A2" s="54" t="n">
        <v>45474</v>
      </c>
      <c r="B2" s="55" t="inlineStr">
        <is>
          <t>THIAGO</t>
        </is>
      </c>
      <c r="C2" s="194" t="n">
        <v>142</v>
      </c>
      <c r="D2" s="194" t="inlineStr">
        <is>
          <t>PG</t>
        </is>
      </c>
      <c r="E2" s="195">
        <f>SUM(C1:C193)</f>
        <v/>
      </c>
      <c r="F2" s="196">
        <f>SUM(G2+H2)</f>
        <v/>
      </c>
      <c r="G2" s="197" t="n">
        <v>1700</v>
      </c>
      <c r="H2" s="198" t="n">
        <v>319</v>
      </c>
      <c r="I2" s="199" t="n"/>
      <c r="J2" s="53" t="n"/>
    </row>
    <row r="3" ht="26.25" customHeight="1">
      <c r="A3" s="54" t="n">
        <v>45474</v>
      </c>
      <c r="B3" s="55" t="inlineStr">
        <is>
          <t>GABRIELY</t>
        </is>
      </c>
      <c r="C3" s="194" t="n">
        <v>201</v>
      </c>
      <c r="D3" s="194" t="inlineStr">
        <is>
          <t>PG</t>
        </is>
      </c>
      <c r="E3" s="200" t="n"/>
      <c r="F3" s="201" t="n"/>
      <c r="G3" s="201" t="n"/>
      <c r="H3" s="201" t="n"/>
      <c r="I3" s="53" t="n"/>
      <c r="J3" s="53" t="n"/>
    </row>
    <row r="4" ht="22.2" customHeight="1">
      <c r="A4" s="54" t="n">
        <v>45475</v>
      </c>
      <c r="B4" s="55" t="inlineStr">
        <is>
          <t>JOANA</t>
        </is>
      </c>
      <c r="C4" s="194" t="n">
        <v>600</v>
      </c>
      <c r="D4" s="194" t="inlineStr">
        <is>
          <t>PG</t>
        </is>
      </c>
      <c r="E4" s="94" t="inlineStr">
        <is>
          <t>META</t>
        </is>
      </c>
      <c r="F4" s="95" t="inlineStr">
        <is>
          <t>3,5X ROI</t>
        </is>
      </c>
      <c r="G4" s="53" t="n"/>
      <c r="H4" s="53" t="n"/>
      <c r="I4" s="53" t="n"/>
      <c r="J4" s="53" t="n"/>
    </row>
    <row r="5" ht="15.6" customHeight="1">
      <c r="A5" s="54" t="n">
        <v>45477</v>
      </c>
      <c r="B5" s="55" t="inlineStr">
        <is>
          <t>VITOR</t>
        </is>
      </c>
      <c r="C5" s="194" t="n">
        <v>77</v>
      </c>
      <c r="D5" s="194" t="inlineStr">
        <is>
          <t>PG</t>
        </is>
      </c>
      <c r="E5" s="53" t="n"/>
      <c r="F5" s="53" t="n"/>
      <c r="G5" s="53" t="n"/>
      <c r="H5" s="53" t="n"/>
      <c r="I5" s="53" t="n"/>
      <c r="J5" s="53" t="n"/>
    </row>
    <row r="6" ht="16.8" customHeight="1">
      <c r="A6" s="54" t="n">
        <v>45477</v>
      </c>
      <c r="B6" s="55" t="inlineStr">
        <is>
          <t>LEANDRO</t>
        </is>
      </c>
      <c r="C6" s="194" t="n">
        <v>156</v>
      </c>
      <c r="D6" s="194" t="inlineStr">
        <is>
          <t>PG</t>
        </is>
      </c>
      <c r="E6" s="112" t="inlineStr">
        <is>
          <t xml:space="preserve"> LIQUIDO</t>
        </is>
      </c>
      <c r="F6" s="113" t="inlineStr">
        <is>
          <t>ROI ATUAL</t>
        </is>
      </c>
      <c r="G6" s="139" t="inlineStr">
        <is>
          <t>retorno sobre investimento</t>
        </is>
      </c>
      <c r="H6" s="202" t="n"/>
      <c r="I6" s="53" t="n"/>
      <c r="J6" s="53" t="n"/>
    </row>
    <row r="7" ht="22.2" customHeight="1">
      <c r="A7" s="54" t="n">
        <v>45477</v>
      </c>
      <c r="B7" s="55" t="inlineStr">
        <is>
          <t>THYAGO</t>
        </is>
      </c>
      <c r="C7" s="194" t="n">
        <v>596</v>
      </c>
      <c r="D7" s="194" t="inlineStr">
        <is>
          <t>PG</t>
        </is>
      </c>
      <c r="E7" s="203">
        <f>SUM(C2:C5,C6:C8,C9:C10,C11:C13,C14:C23,C25,C27:C28,C35:C39,C41,C43:C48)</f>
        <v/>
      </c>
      <c r="F7" s="59">
        <f>E2/F2</f>
        <v/>
      </c>
      <c r="G7" s="53" t="n"/>
      <c r="H7" s="53" t="n"/>
      <c r="I7" s="53" t="n"/>
      <c r="J7" s="53" t="n"/>
    </row>
    <row r="8" ht="22.2" customHeight="1">
      <c r="A8" s="54" t="n">
        <v>45477</v>
      </c>
      <c r="B8" s="55" t="inlineStr">
        <is>
          <t>JORGE</t>
        </is>
      </c>
      <c r="C8" s="194" t="n">
        <v>250</v>
      </c>
      <c r="D8" s="194" t="inlineStr">
        <is>
          <t>PG</t>
        </is>
      </c>
      <c r="E8" s="59">
        <f>E7/F2</f>
        <v/>
      </c>
      <c r="F8" s="53" t="n"/>
      <c r="G8" s="53" t="n"/>
      <c r="H8" s="53" t="n"/>
      <c r="I8" s="53" t="n"/>
      <c r="J8" s="53" t="n"/>
    </row>
    <row r="9" ht="15.6" customHeight="1">
      <c r="A9" s="54" t="n">
        <v>45479</v>
      </c>
      <c r="B9" s="55" t="inlineStr">
        <is>
          <t xml:space="preserve">VITOR </t>
        </is>
      </c>
      <c r="C9" s="194" t="n">
        <v>268</v>
      </c>
      <c r="D9" s="194" t="inlineStr">
        <is>
          <t>PG</t>
        </is>
      </c>
      <c r="E9" s="53" t="n"/>
      <c r="F9" s="204" t="n"/>
      <c r="G9" s="53" t="n"/>
      <c r="H9" s="53" t="n"/>
      <c r="I9" s="53" t="n"/>
      <c r="J9" s="53" t="n"/>
    </row>
    <row r="10" ht="15.6" customHeight="1">
      <c r="A10" s="54" t="n">
        <v>45479</v>
      </c>
      <c r="B10" s="55" t="inlineStr">
        <is>
          <t>JARBAS</t>
        </is>
      </c>
      <c r="C10" s="194" t="n">
        <v>152</v>
      </c>
      <c r="D10" s="194" t="inlineStr">
        <is>
          <t>PG</t>
        </is>
      </c>
      <c r="E10" s="98" t="inlineStr">
        <is>
          <t>alcance</t>
        </is>
      </c>
      <c r="F10" s="98" t="inlineStr">
        <is>
          <t>RMK</t>
        </is>
      </c>
      <c r="G10" s="53" t="n"/>
      <c r="H10" s="53" t="n"/>
      <c r="I10" s="53" t="n"/>
      <c r="J10" s="53" t="n"/>
    </row>
    <row r="11" ht="15.6" customHeight="1">
      <c r="A11" s="54" t="n">
        <v>45481</v>
      </c>
      <c r="B11" s="55" t="inlineStr">
        <is>
          <t>FELIPE</t>
        </is>
      </c>
      <c r="C11" s="194" t="n">
        <v>287</v>
      </c>
      <c r="D11" s="194" t="inlineStr">
        <is>
          <t>PG</t>
        </is>
      </c>
      <c r="E11" s="98" t="inlineStr">
        <is>
          <t>regiao</t>
        </is>
      </c>
      <c r="F11" s="98" t="inlineStr">
        <is>
          <t>PAGE VIEW ACESSORIOS 15D</t>
        </is>
      </c>
      <c r="G11" s="53" t="n"/>
      <c r="H11" s="53" t="n"/>
      <c r="I11" s="53" t="n"/>
      <c r="J11" s="53" t="n"/>
    </row>
    <row r="12" ht="15.6" customHeight="1">
      <c r="A12" s="54" t="n">
        <v>45481</v>
      </c>
      <c r="B12" s="55" t="inlineStr">
        <is>
          <t>ALEXANDRE</t>
        </is>
      </c>
      <c r="C12" s="194" t="n">
        <v>565</v>
      </c>
      <c r="D12" s="194" t="inlineStr">
        <is>
          <t>PG</t>
        </is>
      </c>
      <c r="E12" s="98" t="inlineStr">
        <is>
          <t>produto campeao</t>
        </is>
      </c>
      <c r="F12" s="110" t="inlineStr">
        <is>
          <t>ADC AO CARRINHO 7D</t>
        </is>
      </c>
      <c r="G12" s="53" t="n"/>
      <c r="H12" s="53" t="n"/>
      <c r="I12" s="53" t="n"/>
      <c r="J12" s="53" t="n"/>
    </row>
    <row r="13" ht="15.6" customHeight="1">
      <c r="A13" s="54" t="n">
        <v>45483</v>
      </c>
      <c r="B13" s="55" t="inlineStr">
        <is>
          <t>LEONARDO</t>
        </is>
      </c>
      <c r="C13" s="194" t="n">
        <v>301</v>
      </c>
      <c r="D13" s="194" t="inlineStr">
        <is>
          <t>PG</t>
        </is>
      </c>
      <c r="E13" s="98" t="n"/>
      <c r="F13" s="110" t="inlineStr">
        <is>
          <t>FINALIZA 7D</t>
        </is>
      </c>
      <c r="G13" s="53" t="n"/>
      <c r="H13" s="53" t="n"/>
      <c r="I13" s="53" t="n"/>
      <c r="J13" s="53" t="n"/>
    </row>
    <row r="14" ht="15.6" customHeight="1">
      <c r="A14" s="54" t="n">
        <v>45485</v>
      </c>
      <c r="B14" s="55" t="inlineStr">
        <is>
          <t>BRUNO</t>
        </is>
      </c>
      <c r="C14" s="194" t="n">
        <v>430</v>
      </c>
      <c r="D14" s="194" t="inlineStr">
        <is>
          <t>PG</t>
        </is>
      </c>
      <c r="E14" s="53" t="n"/>
      <c r="F14" s="111" t="inlineStr">
        <is>
          <t>ENVOLV INSTA 30D</t>
        </is>
      </c>
      <c r="G14" s="53" t="n"/>
      <c r="H14" s="53" t="n"/>
      <c r="I14" s="53" t="n"/>
      <c r="J14" s="53" t="n"/>
    </row>
    <row r="15" ht="15.6" customHeight="1">
      <c r="A15" s="54" t="n">
        <v>45486</v>
      </c>
      <c r="B15" s="55" t="inlineStr">
        <is>
          <t>JOSE</t>
        </is>
      </c>
      <c r="C15" s="194" t="n">
        <v>292</v>
      </c>
      <c r="D15" s="194" t="inlineStr">
        <is>
          <t>PG</t>
        </is>
      </c>
      <c r="E15" s="53" t="n"/>
      <c r="F15" s="111" t="inlineStr">
        <is>
          <t>ENVOLV FACE 30D</t>
        </is>
      </c>
      <c r="G15" s="53" t="n"/>
      <c r="H15" s="53" t="n"/>
      <c r="I15" s="53" t="n"/>
      <c r="J15" s="53" t="n"/>
    </row>
    <row r="16" ht="15.6" customHeight="1">
      <c r="A16" s="54" t="n">
        <v>45486</v>
      </c>
      <c r="B16" s="55" t="inlineStr">
        <is>
          <t>ANA LAURA</t>
        </is>
      </c>
      <c r="C16" s="194" t="n">
        <v>510</v>
      </c>
      <c r="D16" s="194" t="inlineStr">
        <is>
          <t>PG</t>
        </is>
      </c>
      <c r="E16" s="53" t="n"/>
      <c r="F16" s="53" t="n"/>
      <c r="G16" s="53" t="n"/>
      <c r="H16" s="53" t="n"/>
      <c r="I16" s="53" t="n"/>
      <c r="J16" s="53" t="n"/>
    </row>
    <row r="17" ht="15.6" customHeight="1">
      <c r="A17" s="54" t="n">
        <v>45487</v>
      </c>
      <c r="B17" s="55" t="inlineStr">
        <is>
          <t>IGOR</t>
        </is>
      </c>
      <c r="C17" s="194" t="n">
        <v>155</v>
      </c>
      <c r="D17" s="194" t="inlineStr">
        <is>
          <t>PG</t>
        </is>
      </c>
      <c r="E17" s="53" t="n"/>
      <c r="F17" s="53" t="n"/>
      <c r="G17" s="53" t="n"/>
      <c r="H17" s="53" t="n"/>
      <c r="I17" s="53" t="n"/>
      <c r="J17" s="53" t="n"/>
    </row>
    <row r="18" ht="15.6" customHeight="1">
      <c r="A18" s="54" t="n">
        <v>45489</v>
      </c>
      <c r="B18" s="55" t="inlineStr">
        <is>
          <t>SAMANTA THASHIRO</t>
        </is>
      </c>
      <c r="C18" s="194" t="n">
        <v>645</v>
      </c>
      <c r="D18" s="194" t="inlineStr">
        <is>
          <t>PG</t>
        </is>
      </c>
      <c r="E18" s="53" t="n">
        <v>2987</v>
      </c>
      <c r="F18" s="53" t="n">
        <v>780</v>
      </c>
      <c r="G18" s="53" t="n"/>
      <c r="H18" s="53" t="n"/>
      <c r="I18" s="53" t="n"/>
      <c r="J18" s="53" t="n"/>
    </row>
    <row r="19" ht="15.6" customHeight="1">
      <c r="A19" s="54" t="n">
        <v>45489</v>
      </c>
      <c r="B19" s="55" t="inlineStr">
        <is>
          <t>CAUA</t>
        </is>
      </c>
      <c r="C19" s="194" t="n">
        <v>152</v>
      </c>
      <c r="D19" s="194" t="inlineStr">
        <is>
          <t>PG</t>
        </is>
      </c>
      <c r="E19" s="53" t="n">
        <v>6609</v>
      </c>
      <c r="F19" s="53" t="n">
        <v>306</v>
      </c>
      <c r="G19" s="53" t="n"/>
      <c r="H19" s="53" t="n"/>
      <c r="I19" s="53" t="n"/>
      <c r="J19" s="53" t="n"/>
    </row>
    <row r="20" ht="15.6" customHeight="1">
      <c r="A20" s="54" t="n">
        <v>45493</v>
      </c>
      <c r="B20" s="55" t="inlineStr">
        <is>
          <t>WANDER</t>
        </is>
      </c>
      <c r="C20" s="194" t="n">
        <v>158</v>
      </c>
      <c r="D20" s="194" t="inlineStr">
        <is>
          <t>PG</t>
        </is>
      </c>
      <c r="E20" s="53" t="inlineStr">
        <is>
          <t xml:space="preserve"> </t>
        </is>
      </c>
      <c r="F20" s="53" t="n"/>
      <c r="G20" s="53" t="n"/>
      <c r="H20" s="53" t="n"/>
      <c r="I20" s="53" t="n"/>
      <c r="J20" s="53" t="n"/>
    </row>
    <row r="21" ht="15.6" customHeight="1">
      <c r="A21" s="54" t="n">
        <v>45493</v>
      </c>
      <c r="B21" s="55" t="inlineStr">
        <is>
          <t>LEONARDO FREIRE</t>
        </is>
      </c>
      <c r="C21" s="194" t="n">
        <v>226</v>
      </c>
      <c r="D21" s="194" t="inlineStr">
        <is>
          <t>PG</t>
        </is>
      </c>
      <c r="E21" s="53" t="n"/>
      <c r="F21" s="98" t="inlineStr">
        <is>
          <t>HUMANIZAR A MARCA</t>
        </is>
      </c>
      <c r="G21" s="53" t="n"/>
      <c r="H21" s="53" t="n"/>
      <c r="I21" s="53" t="n"/>
      <c r="J21" s="53" t="n"/>
    </row>
    <row r="22" ht="15.6" customHeight="1">
      <c r="A22" s="54" t="n">
        <v>45493</v>
      </c>
      <c r="B22" s="55" t="inlineStr">
        <is>
          <t>FABIO</t>
        </is>
      </c>
      <c r="C22" s="194" t="n">
        <v>159</v>
      </c>
      <c r="D22" s="194" t="inlineStr">
        <is>
          <t>PG</t>
        </is>
      </c>
      <c r="E22" s="53" t="n"/>
      <c r="F22" s="98" t="inlineStr">
        <is>
          <t>INTERACAO NOS STORYS</t>
        </is>
      </c>
      <c r="G22" s="53" t="n"/>
      <c r="H22" s="53" t="n"/>
      <c r="I22" s="53" t="n"/>
      <c r="J22" s="53" t="n"/>
    </row>
    <row r="23" ht="15.6" customHeight="1">
      <c r="A23" s="54" t="n">
        <v>45494</v>
      </c>
      <c r="B23" s="55" t="inlineStr">
        <is>
          <t>SAULO</t>
        </is>
      </c>
      <c r="C23" s="194" t="n">
        <v>287</v>
      </c>
      <c r="D23" s="194" t="inlineStr">
        <is>
          <t>PG</t>
        </is>
      </c>
      <c r="E23" s="53" t="n"/>
      <c r="F23" s="53" t="n"/>
      <c r="G23" s="53" t="n"/>
      <c r="H23" s="53" t="n"/>
      <c r="I23" s="53" t="n"/>
      <c r="J23" s="53" t="n"/>
    </row>
    <row r="24" ht="15.6" customHeight="1">
      <c r="A24" s="54" t="n">
        <v>45495</v>
      </c>
      <c r="B24" s="55" t="inlineStr">
        <is>
          <t>LORENZO</t>
        </is>
      </c>
      <c r="C24" s="194" t="n">
        <v>159</v>
      </c>
      <c r="D24" s="194" t="inlineStr">
        <is>
          <t>PG</t>
        </is>
      </c>
      <c r="E24" s="53" t="n"/>
      <c r="F24" s="53" t="n"/>
      <c r="G24" s="53" t="n"/>
      <c r="H24" s="53" t="n"/>
      <c r="I24" s="53" t="n"/>
      <c r="J24" s="53" t="n"/>
    </row>
    <row r="25" ht="15.6" customHeight="1">
      <c r="A25" s="54" t="n">
        <v>45495</v>
      </c>
      <c r="B25" s="55" t="inlineStr">
        <is>
          <t>ANDRE LUIZ</t>
        </is>
      </c>
      <c r="C25" s="194" t="n">
        <v>166</v>
      </c>
      <c r="D25" s="194" t="inlineStr">
        <is>
          <t>PG</t>
        </is>
      </c>
      <c r="E25" s="53" t="n"/>
      <c r="F25" s="53" t="n"/>
      <c r="G25" s="53" t="n"/>
      <c r="H25" s="53" t="n"/>
      <c r="I25" s="53" t="n"/>
      <c r="J25" s="53" t="n"/>
    </row>
    <row r="26" ht="15.6" customHeight="1">
      <c r="A26" s="54" t="n">
        <v>45495</v>
      </c>
      <c r="B26" s="55" t="inlineStr">
        <is>
          <t>DIEGO</t>
        </is>
      </c>
      <c r="C26" s="194" t="n">
        <v>91</v>
      </c>
      <c r="D26" s="194" t="inlineStr">
        <is>
          <t>PG</t>
        </is>
      </c>
      <c r="E26" s="53" t="n"/>
      <c r="F26" s="53" t="n"/>
      <c r="G26" s="53" t="n"/>
      <c r="H26" s="53" t="n"/>
      <c r="I26" s="53" t="n"/>
      <c r="J26" s="53" t="n"/>
    </row>
    <row r="27" ht="15.6" customHeight="1">
      <c r="A27" s="54" t="n">
        <v>45496</v>
      </c>
      <c r="B27" s="55" t="inlineStr">
        <is>
          <t>CARLA LUIZ</t>
        </is>
      </c>
      <c r="C27" s="194" t="n">
        <v>1525</v>
      </c>
      <c r="D27" s="194" t="inlineStr">
        <is>
          <t>PG</t>
        </is>
      </c>
      <c r="E27" s="53" t="n"/>
      <c r="F27" s="53" t="n"/>
      <c r="G27" s="53" t="n"/>
      <c r="H27" s="53" t="n"/>
      <c r="I27" s="53" t="n"/>
      <c r="J27" s="53" t="n"/>
    </row>
    <row r="28" ht="15.6" customHeight="1">
      <c r="A28" s="54" t="n">
        <v>45496</v>
      </c>
      <c r="B28" s="55" t="inlineStr">
        <is>
          <t>RAFAEL</t>
        </is>
      </c>
      <c r="C28" s="194" t="n">
        <v>302</v>
      </c>
      <c r="D28" s="194" t="inlineStr">
        <is>
          <t>PG</t>
        </is>
      </c>
      <c r="E28" s="53" t="n"/>
      <c r="F28" s="53" t="n"/>
      <c r="G28" s="53" t="n"/>
      <c r="H28" s="53" t="n"/>
      <c r="I28" s="53" t="n"/>
      <c r="J28" s="53" t="n"/>
    </row>
    <row r="29" ht="15.6" customHeight="1">
      <c r="A29" s="54" t="n">
        <v>45497</v>
      </c>
      <c r="B29" s="55" t="inlineStr">
        <is>
          <t>SAULO</t>
        </is>
      </c>
      <c r="C29" s="194" t="n">
        <v>1104</v>
      </c>
      <c r="D29" s="194" t="inlineStr">
        <is>
          <t>PG</t>
        </is>
      </c>
      <c r="E29" s="53" t="n"/>
      <c r="F29" s="53" t="n"/>
      <c r="G29" s="53" t="n"/>
      <c r="H29" s="53" t="n"/>
      <c r="I29" s="53" t="n"/>
      <c r="J29" s="53" t="n"/>
    </row>
    <row r="30" ht="15.6" customHeight="1">
      <c r="A30" s="54" t="n">
        <v>45498</v>
      </c>
      <c r="B30" s="55" t="inlineStr">
        <is>
          <t>RENATA</t>
        </is>
      </c>
      <c r="C30" s="194" t="n">
        <v>42</v>
      </c>
      <c r="D30" s="194" t="inlineStr">
        <is>
          <t>PG</t>
        </is>
      </c>
      <c r="E30" s="53" t="n"/>
      <c r="F30" s="53" t="n"/>
      <c r="G30" s="53" t="n"/>
      <c r="H30" s="53" t="n"/>
      <c r="I30" s="53" t="n"/>
      <c r="J30" s="53" t="n"/>
    </row>
    <row r="31" ht="15.6" customHeight="1">
      <c r="A31" s="54" t="n">
        <v>45499</v>
      </c>
      <c r="B31" s="55" t="inlineStr">
        <is>
          <t>BRUNO</t>
        </is>
      </c>
      <c r="C31" s="194" t="n">
        <v>158</v>
      </c>
      <c r="D31" s="194" t="inlineStr">
        <is>
          <t>PG</t>
        </is>
      </c>
      <c r="E31" s="53" t="n"/>
      <c r="F31" s="53" t="n"/>
      <c r="G31" s="53" t="n"/>
      <c r="H31" s="53" t="n"/>
      <c r="I31" s="53" t="n"/>
      <c r="J31" s="53" t="n"/>
    </row>
    <row r="32" ht="15.6" customHeight="1">
      <c r="A32" s="54" t="n">
        <v>45504</v>
      </c>
      <c r="B32" s="55" t="inlineStr">
        <is>
          <t>RODRIGO</t>
        </is>
      </c>
      <c r="C32" s="194" t="n">
        <v>164</v>
      </c>
      <c r="D32" s="194" t="inlineStr">
        <is>
          <t>PG</t>
        </is>
      </c>
      <c r="E32" s="53" t="n"/>
      <c r="F32" s="53" t="n"/>
      <c r="G32" s="53" t="n"/>
      <c r="H32" s="53" t="n"/>
      <c r="I32" s="53" t="n"/>
      <c r="J32" s="53" t="n"/>
    </row>
    <row r="33" ht="15.6" customHeight="1">
      <c r="A33" s="54" t="n"/>
      <c r="B33" s="55" t="n"/>
      <c r="C33" s="194" t="n"/>
      <c r="D33" s="194" t="n"/>
      <c r="E33" s="53" t="n"/>
      <c r="F33" s="53" t="n"/>
      <c r="G33" s="53" t="n"/>
      <c r="H33" s="53" t="n"/>
      <c r="I33" s="53" t="n"/>
      <c r="J33" s="53" t="n"/>
    </row>
    <row r="34" ht="15.6" customHeight="1">
      <c r="A34" s="54" t="n"/>
      <c r="B34" s="55" t="n"/>
      <c r="C34" s="194" t="n"/>
      <c r="D34" s="194" t="n"/>
      <c r="E34" s="53" t="n"/>
      <c r="F34" s="53" t="n"/>
      <c r="G34" s="53" t="n"/>
      <c r="H34" s="53" t="n"/>
      <c r="I34" s="53" t="n"/>
      <c r="J34" s="53" t="n"/>
    </row>
    <row r="35" ht="15.6" customHeight="1">
      <c r="A35" s="54" t="n"/>
      <c r="B35" s="55" t="n"/>
      <c r="C35" s="194" t="n"/>
      <c r="D35" s="194" t="n"/>
      <c r="E35" s="53" t="n"/>
      <c r="F35" s="53" t="n"/>
      <c r="G35" s="53" t="n"/>
      <c r="H35" s="53" t="n"/>
      <c r="I35" s="53" t="n"/>
      <c r="J35" s="53" t="n"/>
    </row>
    <row r="36" ht="15.6" customHeight="1">
      <c r="A36" s="54" t="n"/>
      <c r="B36" s="55" t="n"/>
      <c r="C36" s="194" t="n"/>
      <c r="D36" s="194" t="n"/>
      <c r="E36" s="53" t="n"/>
      <c r="F36" s="53" t="n"/>
      <c r="G36" s="53" t="n"/>
      <c r="H36" s="53" t="n"/>
      <c r="I36" s="53" t="n"/>
      <c r="J36" s="53" t="n"/>
    </row>
    <row r="37" ht="15.6" customHeight="1">
      <c r="A37" s="54" t="n"/>
      <c r="B37" s="55" t="n"/>
      <c r="C37" s="194" t="n"/>
      <c r="D37" s="194" t="n"/>
      <c r="E37" s="53" t="n"/>
      <c r="F37" s="53" t="n"/>
      <c r="G37" s="53" t="n"/>
      <c r="H37" s="53" t="n"/>
      <c r="I37" s="53" t="n"/>
      <c r="J37" s="53" t="n"/>
    </row>
    <row r="38" ht="15.6" customHeight="1">
      <c r="A38" s="54" t="n"/>
      <c r="B38" s="55" t="n"/>
      <c r="C38" s="194" t="n"/>
      <c r="D38" s="194" t="n"/>
      <c r="E38" s="53" t="n"/>
      <c r="F38" s="53" t="n"/>
      <c r="G38" s="53" t="n"/>
      <c r="H38" s="53" t="n"/>
      <c r="I38" s="53" t="n"/>
      <c r="J38" s="53" t="n"/>
    </row>
    <row r="39" ht="15.6" customHeight="1">
      <c r="A39" s="54" t="n"/>
      <c r="B39" s="55" t="n"/>
      <c r="C39" s="194" t="n"/>
      <c r="D39" s="194" t="n"/>
    </row>
    <row r="40" ht="15.6" customHeight="1">
      <c r="A40" s="54" t="n"/>
      <c r="B40" s="55" t="n"/>
      <c r="C40" s="194" t="n"/>
      <c r="D40" s="194" t="n"/>
    </row>
    <row r="41" ht="15.6" customHeight="1">
      <c r="A41" s="54" t="n"/>
      <c r="B41" s="55" t="n"/>
      <c r="C41" s="194" t="n"/>
      <c r="D41" s="194" t="n"/>
    </row>
    <row r="42" ht="15.6" customHeight="1">
      <c r="A42" s="54" t="n"/>
      <c r="B42" s="55" t="n"/>
      <c r="C42" s="194" t="n"/>
      <c r="D42" s="194" t="n"/>
    </row>
    <row r="43" ht="15.6" customHeight="1">
      <c r="A43" s="54" t="n"/>
      <c r="B43" s="55" t="n"/>
      <c r="C43" s="194" t="n"/>
      <c r="D43" s="194" t="n"/>
    </row>
    <row r="44" ht="15.6" customHeight="1">
      <c r="A44" s="54" t="n"/>
      <c r="B44" s="55" t="n"/>
      <c r="C44" s="194" t="n"/>
      <c r="D44" s="194" t="n"/>
    </row>
    <row r="45" ht="15.6" customHeight="1">
      <c r="A45" s="54" t="n"/>
      <c r="B45" s="55" t="n"/>
      <c r="C45" s="194" t="n"/>
      <c r="D45" s="194" t="n"/>
    </row>
    <row r="46" ht="15.6" customHeight="1">
      <c r="A46" s="54" t="n"/>
      <c r="B46" s="55" t="n"/>
      <c r="C46" s="194" t="n"/>
      <c r="D46" s="194" t="n"/>
    </row>
    <row r="47" ht="15.6" customHeight="1">
      <c r="A47" s="54" t="n"/>
      <c r="B47" s="55" t="n"/>
      <c r="C47" s="194" t="n"/>
      <c r="D47" s="194" t="n"/>
    </row>
    <row r="48" ht="15.6" customHeight="1">
      <c r="A48" s="54" t="n"/>
      <c r="B48" s="55" t="n"/>
      <c r="C48" s="194" t="n"/>
      <c r="D48" s="194" t="n"/>
    </row>
    <row r="49" ht="15.6" customHeight="1">
      <c r="A49" s="54" t="n"/>
      <c r="B49" s="55" t="n"/>
      <c r="C49" s="194" t="n"/>
      <c r="D49" s="194" t="n"/>
    </row>
  </sheetData>
  <mergeCells count="2">
    <mergeCell ref="E2:E3"/>
    <mergeCell ref="G6:H6"/>
  </mergeCells>
  <conditionalFormatting sqref="D2:D1048576">
    <cfRule type="containsText" priority="1" operator="containsText" dxfId="1" text="AG">
      <formula>NOT(ISERROR(SEARCH("AG",D2)))</formula>
    </cfRule>
    <cfRule type="containsText" priority="2" operator="containsText" dxfId="0" text="PG">
      <formula>NOT(ISERROR(SEARCH("PG",D2)))</formula>
    </cfRule>
  </conditionalFormatting>
  <dataValidations count="1">
    <dataValidation sqref="D2:D1048576" showDropDown="0" showInputMessage="1" showErrorMessage="1" allowBlank="1" type="list">
      <formula1>"PG,AG"</formula1>
    </dataValidation>
  </dataValidations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9"/>
  <sheetViews>
    <sheetView zoomScale="120" zoomScaleNormal="120" workbookViewId="0">
      <selection activeCell="E22" sqref="E22"/>
    </sheetView>
  </sheetViews>
  <sheetFormatPr baseColWidth="8" defaultRowHeight="14.4"/>
  <cols>
    <col width="17.44140625" customWidth="1" min="1" max="1"/>
    <col width="34.5546875" customWidth="1" min="2" max="2"/>
    <col width="15.88671875" customWidth="1" min="3" max="3"/>
    <col width="17.44140625" customWidth="1" min="4" max="4"/>
    <col width="40.44140625" customWidth="1" min="5" max="5"/>
    <col width="32.88671875" customWidth="1" min="6" max="6"/>
    <col width="18.33203125" bestFit="1" customWidth="1" min="7" max="8"/>
    <col width="27.6640625" bestFit="1" customWidth="1" min="9" max="9"/>
  </cols>
  <sheetData>
    <row r="1" ht="30" customFormat="1" customHeight="1" s="91">
      <c r="A1" s="83" t="inlineStr">
        <is>
          <t>DATA</t>
        </is>
      </c>
      <c r="B1" s="83" t="inlineStr">
        <is>
          <t>NOME</t>
        </is>
      </c>
      <c r="C1" s="193" t="inlineStr">
        <is>
          <t xml:space="preserve"> VALOR</t>
        </is>
      </c>
      <c r="D1" s="83" t="inlineStr">
        <is>
          <t>STATUS</t>
        </is>
      </c>
      <c r="E1" s="85" t="inlineStr">
        <is>
          <t>FAT. TOTAL</t>
        </is>
      </c>
      <c r="F1" s="86" t="inlineStr">
        <is>
          <t>INVEST.TOTAL</t>
        </is>
      </c>
      <c r="G1" s="87" t="inlineStr">
        <is>
          <t>FACEBOOK</t>
        </is>
      </c>
      <c r="H1" s="88" t="inlineStr">
        <is>
          <t>GOOGLE</t>
        </is>
      </c>
      <c r="I1" s="89" t="inlineStr">
        <is>
          <t>CUSTO PRODUTOS</t>
        </is>
      </c>
      <c r="J1" s="90" t="n"/>
    </row>
    <row r="2" ht="22.8" customHeight="1">
      <c r="A2" s="54" t="n">
        <v>45505</v>
      </c>
      <c r="B2" s="55" t="inlineStr">
        <is>
          <t>TIAGO PEREIRA</t>
        </is>
      </c>
      <c r="C2" s="194" t="n">
        <v>170</v>
      </c>
      <c r="D2" s="194" t="inlineStr">
        <is>
          <t>PG</t>
        </is>
      </c>
      <c r="E2" s="195">
        <f>SUM(C1:C193)</f>
        <v/>
      </c>
      <c r="F2" s="196">
        <f>SUM(G2+H2)</f>
        <v/>
      </c>
      <c r="G2" s="197" t="n">
        <v>1650</v>
      </c>
      <c r="H2" s="198" t="n"/>
      <c r="I2" s="199" t="n"/>
      <c r="J2" s="53" t="n"/>
    </row>
    <row r="3" ht="26.25" customHeight="1">
      <c r="A3" s="54" t="n">
        <v>45510</v>
      </c>
      <c r="B3" s="55" t="inlineStr">
        <is>
          <t>ALEXRANDRE</t>
        </is>
      </c>
      <c r="C3" s="194" t="n">
        <v>160</v>
      </c>
      <c r="D3" s="194" t="inlineStr">
        <is>
          <t>PG</t>
        </is>
      </c>
      <c r="E3" s="200" t="n"/>
      <c r="F3" s="201" t="n"/>
      <c r="G3" s="201" t="n"/>
      <c r="H3" s="201" t="n"/>
      <c r="I3" s="53" t="n"/>
      <c r="J3" s="53" t="n"/>
    </row>
    <row r="4" ht="22.2" customHeight="1">
      <c r="A4" s="54" t="n">
        <v>45510</v>
      </c>
      <c r="B4" s="55" t="inlineStr">
        <is>
          <t>LEANDRO BRAGA</t>
        </is>
      </c>
      <c r="C4" s="194" t="n">
        <v>158</v>
      </c>
      <c r="D4" s="194" t="inlineStr">
        <is>
          <t>PG</t>
        </is>
      </c>
      <c r="E4" s="94" t="inlineStr">
        <is>
          <t>META</t>
        </is>
      </c>
      <c r="F4" s="95" t="inlineStr">
        <is>
          <t>3,5X ROI</t>
        </is>
      </c>
      <c r="G4" s="53" t="n"/>
      <c r="H4" s="53" t="n"/>
      <c r="I4" s="53" t="n"/>
      <c r="J4" s="53" t="n"/>
    </row>
    <row r="5" ht="15.6" customHeight="1">
      <c r="A5" s="54" t="n">
        <v>45511</v>
      </c>
      <c r="B5" s="55" t="inlineStr">
        <is>
          <t>JOAO PEDRO</t>
        </is>
      </c>
      <c r="C5" s="194" t="n">
        <v>158</v>
      </c>
      <c r="D5" s="194" t="inlineStr">
        <is>
          <t>PG</t>
        </is>
      </c>
      <c r="E5" s="53" t="n"/>
      <c r="F5" s="53" t="n"/>
      <c r="G5" s="53" t="n"/>
      <c r="H5" s="53" t="n"/>
      <c r="I5" s="53" t="n"/>
      <c r="J5" s="53" t="n"/>
    </row>
    <row r="6" ht="16.8" customHeight="1">
      <c r="A6" s="54" t="n">
        <v>45511</v>
      </c>
      <c r="B6" s="55" t="inlineStr">
        <is>
          <t>FABIANA CURY</t>
        </is>
      </c>
      <c r="C6" s="194" t="n">
        <v>471</v>
      </c>
      <c r="D6" s="194" t="inlineStr">
        <is>
          <t>PG</t>
        </is>
      </c>
      <c r="E6" s="112" t="inlineStr">
        <is>
          <t xml:space="preserve"> LIQUIDO</t>
        </is>
      </c>
      <c r="F6" s="113" t="inlineStr">
        <is>
          <t>ROI ATUAL</t>
        </is>
      </c>
      <c r="G6" s="139" t="inlineStr">
        <is>
          <t>retorno sobre investimento</t>
        </is>
      </c>
      <c r="H6" s="202" t="n"/>
      <c r="I6" s="53" t="n"/>
      <c r="J6" s="53" t="n"/>
    </row>
    <row r="7" ht="22.2" customHeight="1">
      <c r="A7" s="54" t="n">
        <v>45511</v>
      </c>
      <c r="B7" s="55" t="inlineStr">
        <is>
          <t>MARCIEL</t>
        </is>
      </c>
      <c r="C7" s="194" t="n">
        <v>297</v>
      </c>
      <c r="D7" s="194" t="inlineStr">
        <is>
          <t>PG</t>
        </is>
      </c>
      <c r="E7" s="203">
        <f>SUM(C2:C5,C6:C8,C9:C10,C11:C13,C14:C23,C25,C27:C28,C35:C39,C41,C43:C48)</f>
        <v/>
      </c>
      <c r="F7" s="59">
        <f>E2/F2</f>
        <v/>
      </c>
      <c r="G7" s="53" t="n"/>
      <c r="H7" s="53" t="n"/>
      <c r="I7" s="53" t="n"/>
      <c r="J7" s="53" t="n"/>
    </row>
    <row r="8" ht="22.2" customHeight="1">
      <c r="A8" s="54" t="n">
        <v>45512</v>
      </c>
      <c r="B8" s="55" t="inlineStr">
        <is>
          <t>RAFAEL</t>
        </is>
      </c>
      <c r="C8" s="194" t="n">
        <v>157</v>
      </c>
      <c r="D8" s="194" t="inlineStr">
        <is>
          <t>PG</t>
        </is>
      </c>
      <c r="E8" s="59">
        <f>E7/F2</f>
        <v/>
      </c>
      <c r="F8" s="53" t="n"/>
      <c r="G8" s="53" t="n"/>
      <c r="H8" s="53" t="n"/>
      <c r="I8" s="53" t="n"/>
      <c r="J8" s="53" t="n"/>
    </row>
    <row r="9" ht="15.6" customHeight="1">
      <c r="A9" s="54" t="n">
        <v>45515</v>
      </c>
      <c r="B9" s="55" t="inlineStr">
        <is>
          <t>HENRIQUE</t>
        </is>
      </c>
      <c r="C9" s="194" t="n">
        <v>217</v>
      </c>
      <c r="D9" s="194" t="inlineStr">
        <is>
          <t>PG</t>
        </is>
      </c>
      <c r="E9" s="53" t="n"/>
      <c r="F9" s="204" t="n"/>
      <c r="G9" s="53" t="n"/>
      <c r="H9" s="53" t="n"/>
      <c r="I9" s="53" t="n"/>
      <c r="J9" s="53" t="n"/>
    </row>
    <row r="10" ht="15.6" customHeight="1">
      <c r="A10" s="54" t="n">
        <v>45517</v>
      </c>
      <c r="B10" s="55" t="inlineStr">
        <is>
          <t>MATHEUS</t>
        </is>
      </c>
      <c r="C10" s="194" t="n">
        <v>157</v>
      </c>
      <c r="D10" s="194" t="inlineStr">
        <is>
          <t>PG</t>
        </is>
      </c>
      <c r="E10" s="98" t="inlineStr">
        <is>
          <t>alcance</t>
        </is>
      </c>
      <c r="F10" s="98" t="inlineStr">
        <is>
          <t>RMK</t>
        </is>
      </c>
      <c r="G10" s="53" t="n"/>
      <c r="H10" s="53" t="n"/>
      <c r="I10" s="53" t="n"/>
      <c r="J10" s="53" t="n"/>
    </row>
    <row r="11" ht="15.6" customHeight="1">
      <c r="A11" s="54" t="n">
        <v>45518</v>
      </c>
      <c r="B11" s="55" t="inlineStr">
        <is>
          <t>MARCELO</t>
        </is>
      </c>
      <c r="C11" s="194" t="n">
        <v>432</v>
      </c>
      <c r="D11" s="194" t="inlineStr">
        <is>
          <t>PG</t>
        </is>
      </c>
      <c r="E11" s="98" t="inlineStr">
        <is>
          <t>regiao</t>
        </is>
      </c>
      <c r="F11" s="98" t="inlineStr">
        <is>
          <t>PAGE VIEW ACESSORIOS 15D</t>
        </is>
      </c>
      <c r="G11" s="53" t="n"/>
      <c r="H11" s="53" t="n"/>
      <c r="I11" s="53" t="n"/>
      <c r="J11" s="53" t="n"/>
    </row>
    <row r="12" ht="15.6" customHeight="1">
      <c r="A12" s="54" t="n">
        <v>45518</v>
      </c>
      <c r="B12" s="55" t="inlineStr">
        <is>
          <t>BEATRIZ</t>
        </is>
      </c>
      <c r="C12" s="194" t="n">
        <v>250</v>
      </c>
      <c r="D12" s="194" t="inlineStr">
        <is>
          <t>PG</t>
        </is>
      </c>
      <c r="E12" s="98" t="inlineStr">
        <is>
          <t>produto campeao</t>
        </is>
      </c>
      <c r="F12" s="110" t="inlineStr">
        <is>
          <t>ADC AO CARRINHO 7D</t>
        </is>
      </c>
      <c r="G12" s="53" t="n"/>
      <c r="H12" s="53" t="n"/>
      <c r="I12" s="53" t="n"/>
      <c r="J12" s="53" t="n"/>
    </row>
    <row r="13" ht="15.6" customHeight="1">
      <c r="A13" s="54" t="n">
        <v>45520</v>
      </c>
      <c r="B13" s="55" t="inlineStr">
        <is>
          <t>MARCIO</t>
        </is>
      </c>
      <c r="C13" s="194" t="n">
        <v>158</v>
      </c>
      <c r="D13" s="194" t="inlineStr">
        <is>
          <t>PG</t>
        </is>
      </c>
      <c r="E13" s="98" t="n"/>
      <c r="F13" s="110" t="inlineStr">
        <is>
          <t>FINALIZA 7D</t>
        </is>
      </c>
      <c r="G13" s="53" t="n"/>
      <c r="H13" s="53" t="n"/>
      <c r="I13" s="53" t="n"/>
      <c r="J13" s="53" t="n"/>
    </row>
    <row r="14" ht="15.6" customHeight="1">
      <c r="A14" s="54" t="n">
        <v>45522</v>
      </c>
      <c r="B14" s="55" t="inlineStr">
        <is>
          <t>ARTHUR</t>
        </is>
      </c>
      <c r="C14" s="194" t="n">
        <v>168</v>
      </c>
      <c r="D14" s="194" t="inlineStr">
        <is>
          <t>PG</t>
        </is>
      </c>
      <c r="E14" s="53" t="n"/>
      <c r="F14" s="111" t="inlineStr">
        <is>
          <t>ENVOLV INSTA 30D</t>
        </is>
      </c>
      <c r="G14" s="53" t="n"/>
      <c r="H14" s="53" t="n"/>
      <c r="I14" s="53" t="n"/>
      <c r="J14" s="53" t="n"/>
    </row>
    <row r="15" ht="15.6" customHeight="1">
      <c r="A15" s="54" t="n">
        <v>45522</v>
      </c>
      <c r="B15" s="55" t="inlineStr">
        <is>
          <t>LUCAS</t>
        </is>
      </c>
      <c r="C15" s="194" t="n">
        <v>153</v>
      </c>
      <c r="D15" s="194" t="inlineStr">
        <is>
          <t>PG</t>
        </is>
      </c>
      <c r="E15" s="53" t="n"/>
      <c r="F15" s="111" t="inlineStr">
        <is>
          <t>ENVOLV FACE 30D</t>
        </is>
      </c>
      <c r="G15" s="53" t="n"/>
      <c r="H15" s="53" t="n"/>
      <c r="I15" s="53" t="n"/>
      <c r="J15" s="53" t="n"/>
    </row>
    <row r="16" ht="15.6" customHeight="1">
      <c r="A16" s="54" t="n">
        <v>45523</v>
      </c>
      <c r="B16" s="55" t="inlineStr">
        <is>
          <t>AUGUSTO</t>
        </is>
      </c>
      <c r="C16" s="194" t="n">
        <v>332</v>
      </c>
      <c r="D16" s="194" t="inlineStr">
        <is>
          <t>PG</t>
        </is>
      </c>
      <c r="E16" s="53" t="n"/>
      <c r="F16" s="53" t="n"/>
      <c r="G16" s="53" t="n"/>
      <c r="H16" s="53" t="n"/>
      <c r="I16" s="53" t="n"/>
      <c r="J16" s="53" t="n"/>
    </row>
    <row r="17" ht="15.6" customHeight="1">
      <c r="A17" s="54" t="n">
        <v>45525</v>
      </c>
      <c r="B17" s="55" t="inlineStr">
        <is>
          <t>PEDRO</t>
        </is>
      </c>
      <c r="C17" s="194" t="n">
        <v>1662</v>
      </c>
      <c r="D17" s="194" t="inlineStr">
        <is>
          <t>PG</t>
        </is>
      </c>
      <c r="E17" s="53" t="n"/>
      <c r="F17" s="53" t="n"/>
      <c r="G17" s="53" t="n"/>
      <c r="H17" s="53" t="n"/>
      <c r="I17" s="53" t="n"/>
      <c r="J17" s="53" t="n"/>
    </row>
    <row r="18" ht="15.6" customHeight="1">
      <c r="A18" s="54" t="n">
        <v>45527</v>
      </c>
      <c r="B18" s="55" t="inlineStr">
        <is>
          <t>ANGELICA</t>
        </is>
      </c>
      <c r="C18" s="194" t="n">
        <v>158</v>
      </c>
      <c r="D18" s="194" t="inlineStr">
        <is>
          <t>PG</t>
        </is>
      </c>
      <c r="E18" s="53" t="n">
        <v>3998</v>
      </c>
      <c r="F18" s="53" t="n">
        <v>2200</v>
      </c>
      <c r="G18" s="53" t="n"/>
      <c r="H18" s="53" t="n"/>
      <c r="I18" s="53" t="n"/>
      <c r="J18" s="53" t="n"/>
    </row>
    <row r="19" ht="15.6" customHeight="1">
      <c r="A19" s="54" t="n">
        <v>45530</v>
      </c>
      <c r="B19" s="55" t="inlineStr">
        <is>
          <t>MARCIA</t>
        </is>
      </c>
      <c r="C19" s="194" t="n">
        <v>77</v>
      </c>
      <c r="D19" s="194" t="inlineStr">
        <is>
          <t>PG</t>
        </is>
      </c>
      <c r="E19" s="53" t="n">
        <v>5100</v>
      </c>
      <c r="F19" s="53" t="n">
        <v>300</v>
      </c>
      <c r="G19" s="53" t="n"/>
      <c r="H19" s="53" t="n"/>
      <c r="I19" s="53" t="n"/>
      <c r="J19" s="53" t="n"/>
    </row>
    <row r="20" ht="15.6" customHeight="1">
      <c r="A20" s="54" t="n">
        <v>45531</v>
      </c>
      <c r="B20" s="55" t="inlineStr">
        <is>
          <t>SIDNEY</t>
        </is>
      </c>
      <c r="C20" s="194" t="n">
        <v>77</v>
      </c>
      <c r="D20" s="194" t="inlineStr">
        <is>
          <t>PG</t>
        </is>
      </c>
      <c r="E20" s="53" t="inlineStr">
        <is>
          <t xml:space="preserve"> </t>
        </is>
      </c>
      <c r="F20" s="53" t="n"/>
      <c r="G20" s="53" t="n"/>
      <c r="H20" s="53" t="n"/>
      <c r="I20" s="53" t="n"/>
      <c r="J20" s="53" t="n"/>
    </row>
    <row r="21" ht="15.6" customHeight="1">
      <c r="A21" s="54" t="n">
        <v>45531</v>
      </c>
      <c r="B21" s="55" t="inlineStr">
        <is>
          <t>PEDRO</t>
        </is>
      </c>
      <c r="C21" s="194" t="n">
        <v>239</v>
      </c>
      <c r="D21" s="194" t="inlineStr">
        <is>
          <t>PG</t>
        </is>
      </c>
      <c r="E21" s="53" t="n"/>
      <c r="F21" s="98" t="inlineStr">
        <is>
          <t>HUMANIZAR A MARCA</t>
        </is>
      </c>
      <c r="G21" s="53" t="n"/>
      <c r="H21" s="53" t="n"/>
      <c r="I21" s="53" t="n"/>
      <c r="J21" s="53" t="n"/>
    </row>
    <row r="22" ht="15.6" customHeight="1">
      <c r="A22" s="54" t="n">
        <v>45532</v>
      </c>
      <c r="B22" s="55" t="inlineStr">
        <is>
          <t>IGOR</t>
        </is>
      </c>
      <c r="C22" s="194" t="n">
        <v>239</v>
      </c>
      <c r="D22" s="194" t="inlineStr">
        <is>
          <t>PG</t>
        </is>
      </c>
      <c r="E22" s="53" t="n"/>
      <c r="F22" s="98" t="inlineStr">
        <is>
          <t>INTERACAO NOS STORYS</t>
        </is>
      </c>
      <c r="G22" s="53" t="n"/>
      <c r="H22" s="53" t="n"/>
      <c r="I22" s="53" t="n"/>
      <c r="J22" s="53" t="n"/>
    </row>
    <row r="23" ht="15.6" customHeight="1">
      <c r="A23" s="54" t="n">
        <v>45532</v>
      </c>
      <c r="B23" s="55" t="inlineStr">
        <is>
          <t>PATRICIA</t>
        </is>
      </c>
      <c r="C23" s="194" t="n">
        <v>223</v>
      </c>
      <c r="D23" s="194" t="inlineStr">
        <is>
          <t>PG</t>
        </is>
      </c>
      <c r="E23" s="53" t="n"/>
      <c r="F23" s="53" t="n"/>
      <c r="G23" s="53" t="n"/>
      <c r="H23" s="53" t="n"/>
      <c r="I23" s="53" t="n"/>
      <c r="J23" s="53" t="n"/>
    </row>
    <row r="24" ht="15.6" customHeight="1">
      <c r="A24" s="54" t="n">
        <v>45532</v>
      </c>
      <c r="B24" s="55" t="inlineStr">
        <is>
          <t>VICTOR</t>
        </is>
      </c>
      <c r="C24" s="194" t="n">
        <v>157</v>
      </c>
      <c r="D24" s="194" t="inlineStr">
        <is>
          <t>PG</t>
        </is>
      </c>
      <c r="E24" s="53" t="n"/>
      <c r="F24" s="53" t="n"/>
      <c r="G24" s="53" t="n"/>
      <c r="H24" s="53" t="n"/>
      <c r="I24" s="53" t="n"/>
      <c r="J24" s="53" t="n"/>
    </row>
    <row r="25" ht="15.6" customHeight="1">
      <c r="A25" s="54" t="n">
        <v>45532</v>
      </c>
      <c r="B25" s="55" t="inlineStr">
        <is>
          <t>ALEXRANDRE</t>
        </is>
      </c>
      <c r="C25" s="194" t="n">
        <v>409</v>
      </c>
      <c r="D25" s="194" t="inlineStr">
        <is>
          <t>PG</t>
        </is>
      </c>
      <c r="E25" s="53" t="n"/>
      <c r="F25" s="53" t="n"/>
      <c r="G25" s="53" t="n"/>
      <c r="H25" s="53" t="n"/>
      <c r="I25" s="53" t="n"/>
      <c r="J25" s="53" t="n"/>
    </row>
    <row r="26" ht="15.6" customHeight="1">
      <c r="A26" s="54" t="n">
        <v>45533</v>
      </c>
      <c r="B26" s="55" t="inlineStr">
        <is>
          <t>JOAO</t>
        </is>
      </c>
      <c r="C26" s="194" t="n">
        <v>150</v>
      </c>
      <c r="D26" s="194" t="inlineStr">
        <is>
          <t>PG</t>
        </is>
      </c>
      <c r="E26" s="53" t="n"/>
      <c r="F26" s="53" t="n"/>
      <c r="G26" s="53" t="n"/>
      <c r="H26" s="53" t="n"/>
      <c r="I26" s="53" t="n"/>
      <c r="J26" s="53" t="n"/>
    </row>
    <row r="27" ht="15.6" customHeight="1">
      <c r="A27" s="54" t="n">
        <v>45535</v>
      </c>
      <c r="B27" s="55" t="inlineStr">
        <is>
          <t>AUGUSTO</t>
        </is>
      </c>
      <c r="C27" s="194" t="n">
        <v>170</v>
      </c>
      <c r="D27" s="194" t="inlineStr">
        <is>
          <t>PG</t>
        </is>
      </c>
      <c r="E27" s="53" t="n"/>
      <c r="F27" s="53" t="n"/>
      <c r="G27" s="53" t="n"/>
      <c r="H27" s="53" t="n"/>
      <c r="I27" s="53" t="n"/>
      <c r="J27" s="53" t="n"/>
    </row>
    <row r="28" ht="15.6" customHeight="1">
      <c r="A28" s="54" t="n">
        <v>45535</v>
      </c>
      <c r="B28" s="55" t="inlineStr">
        <is>
          <t>YAN</t>
        </is>
      </c>
      <c r="C28" s="194" t="n">
        <v>274</v>
      </c>
      <c r="D28" s="194" t="inlineStr">
        <is>
          <t>PG</t>
        </is>
      </c>
      <c r="E28" s="53" t="n"/>
      <c r="F28" s="53" t="n"/>
      <c r="G28" s="53" t="n"/>
      <c r="H28" s="53" t="n"/>
      <c r="I28" s="53" t="n"/>
      <c r="J28" s="53" t="n"/>
    </row>
    <row r="29" ht="15.6" customHeight="1">
      <c r="A29" s="54" t="n"/>
      <c r="B29" s="55" t="n"/>
      <c r="C29" s="194" t="n"/>
      <c r="D29" s="194" t="n"/>
      <c r="E29" s="53" t="n"/>
      <c r="F29" s="53" t="n"/>
      <c r="G29" s="53" t="n"/>
      <c r="H29" s="53" t="n"/>
      <c r="I29" s="53" t="n"/>
      <c r="J29" s="53" t="n"/>
    </row>
    <row r="30" ht="15.6" customHeight="1">
      <c r="A30" s="54" t="n"/>
      <c r="B30" s="55" t="n"/>
      <c r="C30" s="194" t="n"/>
      <c r="D30" s="194" t="n"/>
      <c r="E30" s="53" t="n"/>
      <c r="F30" s="53" t="n"/>
      <c r="G30" s="53" t="n"/>
      <c r="H30" s="53" t="n"/>
      <c r="I30" s="53" t="n"/>
      <c r="J30" s="53" t="n"/>
    </row>
    <row r="31" ht="15.6" customHeight="1">
      <c r="A31" s="54" t="n"/>
      <c r="B31" s="55" t="n"/>
      <c r="C31" s="194" t="n"/>
      <c r="D31" s="194" t="n"/>
      <c r="E31" s="53" t="n"/>
      <c r="F31" s="53" t="n"/>
      <c r="G31" s="53" t="n"/>
      <c r="H31" s="53" t="n"/>
      <c r="I31" s="53" t="n"/>
      <c r="J31" s="53" t="n"/>
    </row>
    <row r="32" ht="15.6" customHeight="1">
      <c r="A32" s="54" t="n"/>
      <c r="B32" s="55" t="n"/>
      <c r="C32" s="194" t="n"/>
      <c r="D32" s="194" t="n"/>
      <c r="E32" s="53" t="n"/>
      <c r="F32" s="53" t="n"/>
      <c r="G32" s="53" t="n"/>
      <c r="H32" s="53" t="n"/>
      <c r="I32" s="53" t="n"/>
      <c r="J32" s="53" t="n"/>
    </row>
    <row r="33" ht="15.6" customHeight="1">
      <c r="A33" s="54" t="n"/>
      <c r="B33" s="55" t="n"/>
      <c r="C33" s="194" t="n"/>
      <c r="D33" s="194" t="n"/>
      <c r="E33" s="53" t="n"/>
      <c r="F33" s="53" t="n"/>
      <c r="G33" s="53" t="n"/>
      <c r="H33" s="53" t="n"/>
      <c r="I33" s="53" t="n"/>
      <c r="J33" s="53" t="n"/>
    </row>
    <row r="34" ht="15.6" customHeight="1">
      <c r="A34" s="54" t="n"/>
      <c r="B34" s="55" t="n"/>
      <c r="C34" s="194" t="n"/>
      <c r="D34" s="194" t="n"/>
      <c r="E34" s="53" t="n"/>
      <c r="F34" s="53" t="n"/>
      <c r="G34" s="53" t="n"/>
      <c r="H34" s="53" t="n"/>
      <c r="I34" s="53" t="n"/>
      <c r="J34" s="53" t="n"/>
    </row>
    <row r="35" ht="15.6" customHeight="1">
      <c r="A35" s="54" t="n"/>
      <c r="B35" s="55" t="n"/>
      <c r="C35" s="194" t="n"/>
      <c r="D35" s="194" t="n"/>
      <c r="E35" s="53" t="n"/>
      <c r="F35" s="53" t="n"/>
      <c r="G35" s="53" t="n"/>
      <c r="H35" s="53" t="n"/>
      <c r="I35" s="53" t="n"/>
      <c r="J35" s="53" t="n"/>
    </row>
    <row r="36" ht="15.6" customHeight="1">
      <c r="A36" s="54" t="n"/>
      <c r="B36" s="55" t="n"/>
      <c r="C36" s="194" t="n"/>
      <c r="D36" s="194" t="n"/>
      <c r="E36" s="53" t="n"/>
      <c r="F36" s="53" t="n"/>
      <c r="G36" s="53" t="n"/>
      <c r="H36" s="53" t="n"/>
      <c r="I36" s="53" t="n"/>
      <c r="J36" s="53" t="n"/>
    </row>
    <row r="37" ht="15.6" customHeight="1">
      <c r="A37" s="54" t="n"/>
      <c r="B37" s="55" t="n"/>
      <c r="C37" s="194" t="n"/>
      <c r="D37" s="194" t="n"/>
      <c r="E37" s="53" t="n"/>
      <c r="F37" s="53" t="n"/>
      <c r="G37" s="53" t="n"/>
      <c r="H37" s="53" t="n"/>
      <c r="I37" s="53" t="n"/>
      <c r="J37" s="53" t="n"/>
    </row>
    <row r="38" ht="15.6" customHeight="1">
      <c r="A38" s="54" t="n"/>
      <c r="B38" s="55" t="n"/>
      <c r="C38" s="194" t="n"/>
      <c r="D38" s="194" t="n"/>
      <c r="E38" s="53" t="n"/>
      <c r="F38" s="53" t="n"/>
      <c r="G38" s="53" t="n"/>
      <c r="H38" s="53" t="n"/>
      <c r="I38" s="53" t="n"/>
      <c r="J38" s="53" t="n"/>
    </row>
    <row r="39" ht="15.6" customHeight="1">
      <c r="A39" s="54" t="n"/>
      <c r="B39" s="55" t="n"/>
      <c r="C39" s="194" t="n"/>
      <c r="D39" s="194" t="n"/>
    </row>
    <row r="40" ht="15.6" customHeight="1">
      <c r="A40" s="54" t="n"/>
      <c r="B40" s="55" t="n"/>
      <c r="C40" s="194" t="n"/>
      <c r="D40" s="194" t="n"/>
    </row>
    <row r="41" ht="15.6" customHeight="1">
      <c r="A41" s="54" t="n"/>
      <c r="B41" s="55" t="n"/>
      <c r="C41" s="194" t="n"/>
      <c r="D41" s="194" t="n"/>
    </row>
    <row r="42" ht="15.6" customHeight="1">
      <c r="A42" s="54" t="n"/>
      <c r="B42" s="55" t="n"/>
      <c r="C42" s="194" t="n"/>
      <c r="D42" s="194" t="n"/>
    </row>
    <row r="43" ht="15.6" customHeight="1">
      <c r="A43" s="54" t="n"/>
      <c r="B43" s="55" t="n"/>
      <c r="C43" s="194" t="n"/>
      <c r="D43" s="194" t="n"/>
    </row>
    <row r="44" ht="15.6" customHeight="1">
      <c r="A44" s="54" t="n"/>
      <c r="B44" s="55" t="n"/>
      <c r="C44" s="194" t="n"/>
      <c r="D44" s="194" t="n"/>
    </row>
    <row r="45" ht="15.6" customHeight="1">
      <c r="A45" s="54" t="n"/>
      <c r="B45" s="55" t="n"/>
      <c r="C45" s="194" t="n"/>
      <c r="D45" s="194" t="n"/>
    </row>
    <row r="46" ht="15.6" customHeight="1">
      <c r="A46" s="54" t="n"/>
      <c r="B46" s="55" t="n"/>
      <c r="C46" s="194" t="n"/>
      <c r="D46" s="194" t="n"/>
    </row>
    <row r="47" ht="15.6" customHeight="1">
      <c r="A47" s="54" t="n"/>
      <c r="B47" s="55" t="n"/>
      <c r="C47" s="194" t="n"/>
      <c r="D47" s="194" t="n"/>
    </row>
    <row r="48" ht="15.6" customHeight="1">
      <c r="A48" s="54" t="n"/>
      <c r="B48" s="55" t="n"/>
      <c r="C48" s="194" t="n"/>
      <c r="D48" s="194" t="n"/>
    </row>
    <row r="49" ht="15.6" customHeight="1">
      <c r="A49" s="54" t="n"/>
      <c r="B49" s="55" t="n"/>
      <c r="C49" s="194" t="n"/>
      <c r="D49" s="194" t="n"/>
    </row>
  </sheetData>
  <mergeCells count="2">
    <mergeCell ref="E2:E3"/>
    <mergeCell ref="G6:H6"/>
  </mergeCells>
  <conditionalFormatting sqref="D2:D1048576">
    <cfRule type="containsText" priority="1" operator="containsText" dxfId="1" text="AG">
      <formula>NOT(ISERROR(SEARCH("AG",D2)))</formula>
    </cfRule>
    <cfRule type="containsText" priority="2" operator="containsText" dxfId="0" text="PG">
      <formula>NOT(ISERROR(SEARCH("PG",D2)))</formula>
    </cfRule>
  </conditionalFormatting>
  <dataValidations count="1">
    <dataValidation sqref="D2:D1048576" showDropDown="0" showInputMessage="1" showErrorMessage="1" allowBlank="1" type="list">
      <formula1>"PG,AG"</formula1>
    </dataValidation>
  </dataValidations>
  <pageMargins left="0.511811024" right="0.511811024" top="0.787401575" bottom="0.787401575" header="0.31496062" footer="0.3149606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9"/>
  <sheetViews>
    <sheetView zoomScale="120" zoomScaleNormal="120" workbookViewId="0">
      <selection activeCell="C2" sqref="C2:C22"/>
    </sheetView>
  </sheetViews>
  <sheetFormatPr baseColWidth="8" defaultRowHeight="14.4"/>
  <cols>
    <col width="17.44140625" customWidth="1" min="1" max="1"/>
    <col width="34.5546875" customWidth="1" min="2" max="2"/>
    <col width="15.88671875" customWidth="1" min="3" max="3"/>
    <col width="17.44140625" customWidth="1" min="4" max="4"/>
    <col width="40.44140625" customWidth="1" min="5" max="5"/>
    <col width="32.88671875" customWidth="1" min="6" max="6"/>
    <col width="18.33203125" bestFit="1" customWidth="1" min="7" max="8"/>
    <col width="27.6640625" bestFit="1" customWidth="1" min="9" max="9"/>
  </cols>
  <sheetData>
    <row r="1" ht="30" customFormat="1" customHeight="1" s="91">
      <c r="A1" s="83" t="inlineStr">
        <is>
          <t>DATA</t>
        </is>
      </c>
      <c r="B1" s="83" t="inlineStr">
        <is>
          <t>NOME</t>
        </is>
      </c>
      <c r="C1" s="193" t="inlineStr">
        <is>
          <t xml:space="preserve"> VALOR</t>
        </is>
      </c>
      <c r="D1" s="83" t="inlineStr">
        <is>
          <t>STATUS</t>
        </is>
      </c>
      <c r="E1" s="85" t="inlineStr">
        <is>
          <t>FAT. TOTAL</t>
        </is>
      </c>
      <c r="F1" s="86" t="inlineStr">
        <is>
          <t>INVEST.TOTAL</t>
        </is>
      </c>
      <c r="G1" s="87" t="inlineStr">
        <is>
          <t>FACEBOOK</t>
        </is>
      </c>
      <c r="H1" s="88" t="inlineStr">
        <is>
          <t>GOOGLE</t>
        </is>
      </c>
      <c r="I1" s="89" t="inlineStr">
        <is>
          <t>CUSTO PRODUTOS</t>
        </is>
      </c>
      <c r="J1" s="90" t="n"/>
    </row>
    <row r="2" ht="22.8" customHeight="1">
      <c r="A2" s="54" t="n">
        <v>45536</v>
      </c>
      <c r="B2" s="55" t="inlineStr">
        <is>
          <t>ALEXANDRE</t>
        </is>
      </c>
      <c r="C2" s="194" t="n">
        <v>409</v>
      </c>
      <c r="D2" s="194" t="inlineStr">
        <is>
          <t>PG</t>
        </is>
      </c>
      <c r="E2" s="195">
        <f>SUM(C1:C193)</f>
        <v/>
      </c>
      <c r="F2" s="196">
        <f>SUM(G2+H2)</f>
        <v/>
      </c>
      <c r="G2" s="197" t="n">
        <v>903</v>
      </c>
      <c r="H2" s="198" t="n">
        <v>380</v>
      </c>
      <c r="I2" s="199" t="n"/>
      <c r="J2" s="53" t="n"/>
    </row>
    <row r="3" ht="26.25" customHeight="1">
      <c r="A3" s="54" t="n">
        <v>45537</v>
      </c>
      <c r="B3" s="55" t="inlineStr">
        <is>
          <t>ANDERSON</t>
        </is>
      </c>
      <c r="C3" s="194" t="n">
        <v>739</v>
      </c>
      <c r="D3" s="194" t="inlineStr">
        <is>
          <t>PG</t>
        </is>
      </c>
      <c r="E3" s="200" t="n"/>
      <c r="F3" s="201" t="n"/>
      <c r="G3" s="201" t="n"/>
      <c r="H3" s="201" t="n"/>
      <c r="I3" s="53" t="n"/>
      <c r="J3" s="53" t="n"/>
    </row>
    <row r="4" ht="22.2" customHeight="1">
      <c r="A4" s="54" t="n">
        <v>45538</v>
      </c>
      <c r="B4" s="55" t="inlineStr">
        <is>
          <t>WESLEY</t>
        </is>
      </c>
      <c r="C4" s="194" t="n">
        <v>270</v>
      </c>
      <c r="D4" s="194" t="inlineStr">
        <is>
          <t>PG</t>
        </is>
      </c>
      <c r="E4" s="94" t="inlineStr">
        <is>
          <t>META</t>
        </is>
      </c>
      <c r="F4" s="95" t="inlineStr">
        <is>
          <t>3,5X ROI</t>
        </is>
      </c>
      <c r="G4" s="53" t="n"/>
      <c r="H4" s="53" t="n"/>
      <c r="I4" s="53" t="n"/>
      <c r="J4" s="53" t="n"/>
    </row>
    <row r="5" ht="15.6" customHeight="1">
      <c r="A5" s="54" t="n">
        <v>45538</v>
      </c>
      <c r="B5" s="55" t="inlineStr">
        <is>
          <t>ATILIO</t>
        </is>
      </c>
      <c r="C5" s="194" t="n">
        <v>266</v>
      </c>
      <c r="D5" s="194" t="inlineStr">
        <is>
          <t>PG</t>
        </is>
      </c>
      <c r="E5" s="53" t="n"/>
      <c r="F5" s="53" t="n"/>
      <c r="G5" s="53" t="n"/>
      <c r="H5" s="53" t="n"/>
      <c r="I5" s="53" t="n"/>
      <c r="J5" s="53" t="n"/>
    </row>
    <row r="6" ht="16.8" customHeight="1">
      <c r="A6" s="54" t="n">
        <v>45539</v>
      </c>
      <c r="B6" s="55" t="inlineStr">
        <is>
          <t>PEDRO VIEIRA</t>
        </is>
      </c>
      <c r="C6" s="194" t="n">
        <v>721</v>
      </c>
      <c r="D6" s="194" t="inlineStr">
        <is>
          <t>PG</t>
        </is>
      </c>
      <c r="E6" s="112" t="inlineStr">
        <is>
          <t xml:space="preserve"> LIQUIDO</t>
        </is>
      </c>
      <c r="F6" s="113" t="inlineStr">
        <is>
          <t>ROI ATUAL</t>
        </is>
      </c>
      <c r="G6" s="139" t="inlineStr">
        <is>
          <t>retorno sobre investimento</t>
        </is>
      </c>
      <c r="H6" s="202" t="n"/>
      <c r="I6" s="53" t="n"/>
      <c r="J6" s="53" t="n"/>
    </row>
    <row r="7" ht="22.2" customHeight="1">
      <c r="A7" s="54" t="n">
        <v>45539</v>
      </c>
      <c r="B7" s="55" t="inlineStr">
        <is>
          <t>LEONARDO</t>
        </is>
      </c>
      <c r="C7" s="194" t="n">
        <v>309</v>
      </c>
      <c r="D7" s="194" t="inlineStr">
        <is>
          <t>PG</t>
        </is>
      </c>
      <c r="E7" s="203">
        <f>SUM(C2:C5,C6:C7,C8:C9,C10:C13,C14:C23,C25,C27:C28,C35:C39,C41,C43:C48)</f>
        <v/>
      </c>
      <c r="F7" s="59">
        <f>E2/F2</f>
        <v/>
      </c>
      <c r="G7" s="53" t="n"/>
      <c r="H7" s="53" t="n"/>
      <c r="I7" s="53" t="n"/>
      <c r="J7" s="53" t="n"/>
    </row>
    <row r="8" ht="22.2" customHeight="1">
      <c r="A8" s="54" t="n">
        <v>45540</v>
      </c>
      <c r="B8" s="55" t="inlineStr">
        <is>
          <t>GIAN</t>
        </is>
      </c>
      <c r="C8" s="194" t="n">
        <v>300</v>
      </c>
      <c r="D8" s="194" t="inlineStr">
        <is>
          <t>PG</t>
        </is>
      </c>
      <c r="E8" s="59">
        <f>E7/F2</f>
        <v/>
      </c>
      <c r="F8" s="53" t="n"/>
      <c r="G8" s="53" t="n"/>
      <c r="H8" s="53" t="n"/>
      <c r="I8" s="53" t="n"/>
      <c r="J8" s="53" t="n"/>
    </row>
    <row r="9" ht="15.6" customHeight="1">
      <c r="A9" s="54" t="n">
        <v>45541</v>
      </c>
      <c r="B9" s="55" t="inlineStr">
        <is>
          <t>FELIPE</t>
        </is>
      </c>
      <c r="C9" s="194" t="n">
        <v>266</v>
      </c>
      <c r="D9" s="194" t="inlineStr">
        <is>
          <t>PG</t>
        </is>
      </c>
      <c r="E9" s="53" t="n"/>
      <c r="F9" s="204" t="n"/>
      <c r="G9" s="53" t="n"/>
      <c r="H9" s="53" t="n"/>
      <c r="I9" s="53" t="n"/>
      <c r="J9" s="53" t="n"/>
    </row>
    <row r="10" ht="15.6" customHeight="1">
      <c r="A10" s="54" t="n">
        <v>45542</v>
      </c>
      <c r="B10" s="55" t="inlineStr">
        <is>
          <t>PEDRO</t>
        </is>
      </c>
      <c r="C10" s="194" t="n">
        <v>198</v>
      </c>
      <c r="D10" s="194" t="inlineStr">
        <is>
          <t>PG</t>
        </is>
      </c>
      <c r="E10" s="98" t="inlineStr">
        <is>
          <t>alcance</t>
        </is>
      </c>
      <c r="F10" s="98" t="inlineStr">
        <is>
          <t>RMK</t>
        </is>
      </c>
      <c r="G10" s="53" t="n"/>
      <c r="H10" s="53" t="n"/>
      <c r="I10" s="53" t="n"/>
      <c r="J10" s="53" t="n"/>
    </row>
    <row r="11" ht="15.6" customHeight="1">
      <c r="A11" s="54" t="n">
        <v>45545</v>
      </c>
      <c r="B11" s="55" t="inlineStr">
        <is>
          <t>ARTUR</t>
        </is>
      </c>
      <c r="C11" s="194" t="n">
        <v>152</v>
      </c>
      <c r="D11" s="194" t="inlineStr">
        <is>
          <t>PG</t>
        </is>
      </c>
      <c r="E11" s="98" t="inlineStr">
        <is>
          <t>regiao</t>
        </is>
      </c>
      <c r="F11" s="98" t="inlineStr">
        <is>
          <t>PAGE VIEW ACESSORIOS 15D</t>
        </is>
      </c>
      <c r="G11" s="53" t="n"/>
      <c r="H11" s="53" t="n"/>
      <c r="I11" s="53" t="n"/>
      <c r="J11" s="53" t="n"/>
    </row>
    <row r="12" ht="15.6" customHeight="1">
      <c r="A12" s="54" t="n">
        <v>45545</v>
      </c>
      <c r="B12" s="55" t="inlineStr">
        <is>
          <t>MARCELA</t>
        </is>
      </c>
      <c r="C12" s="194" t="n">
        <v>270</v>
      </c>
      <c r="D12" s="194" t="inlineStr">
        <is>
          <t>PG</t>
        </is>
      </c>
      <c r="E12" s="98" t="inlineStr">
        <is>
          <t>produto campeao</t>
        </is>
      </c>
      <c r="F12" s="110" t="inlineStr">
        <is>
          <t>ADC AO CARRINHO 7D</t>
        </is>
      </c>
      <c r="G12" s="53" t="n"/>
      <c r="H12" s="53" t="n"/>
      <c r="I12" s="53" t="n"/>
      <c r="J12" s="53" t="n"/>
    </row>
    <row r="13" ht="15.6" customHeight="1">
      <c r="A13" s="54" t="n">
        <v>45545</v>
      </c>
      <c r="B13" s="55" t="inlineStr">
        <is>
          <t>KENIO</t>
        </is>
      </c>
      <c r="C13" s="194" t="n">
        <v>320</v>
      </c>
      <c r="D13" s="194" t="inlineStr">
        <is>
          <t>PG</t>
        </is>
      </c>
      <c r="E13" s="98" t="n"/>
      <c r="F13" s="110" t="inlineStr">
        <is>
          <t>FINALIZA 7D</t>
        </is>
      </c>
      <c r="G13" s="53" t="n"/>
      <c r="H13" s="53" t="n"/>
      <c r="I13" s="53" t="n"/>
      <c r="J13" s="53" t="n"/>
    </row>
    <row r="14" ht="15.6" customHeight="1">
      <c r="A14" s="54" t="n">
        <v>45546</v>
      </c>
      <c r="B14" s="55" t="inlineStr">
        <is>
          <t>IVAN</t>
        </is>
      </c>
      <c r="C14" s="194" t="n">
        <v>360</v>
      </c>
      <c r="D14" s="194" t="inlineStr">
        <is>
          <t>PG</t>
        </is>
      </c>
      <c r="E14" s="53" t="n"/>
      <c r="F14" s="111" t="inlineStr">
        <is>
          <t>ENVOLV INSTA 30D</t>
        </is>
      </c>
      <c r="G14" s="53" t="n"/>
      <c r="H14" s="53" t="n"/>
      <c r="I14" s="53" t="n"/>
      <c r="J14" s="53" t="n"/>
    </row>
    <row r="15" ht="15.6" customHeight="1">
      <c r="A15" s="54" t="n">
        <v>45547</v>
      </c>
      <c r="B15" s="55" t="inlineStr">
        <is>
          <t>THIAGO</t>
        </is>
      </c>
      <c r="C15" s="194" t="n">
        <v>218</v>
      </c>
      <c r="D15" s="194" t="inlineStr">
        <is>
          <t>PG</t>
        </is>
      </c>
      <c r="E15" s="53" t="n"/>
      <c r="F15" s="111" t="inlineStr">
        <is>
          <t>ENVOLV FACE 30D</t>
        </is>
      </c>
      <c r="G15" s="53" t="n"/>
      <c r="H15" s="53" t="n"/>
      <c r="I15" s="53" t="n"/>
      <c r="J15" s="53" t="n"/>
    </row>
    <row r="16" ht="15.6" customHeight="1">
      <c r="A16" s="54" t="n">
        <v>45547</v>
      </c>
      <c r="B16" s="55" t="inlineStr">
        <is>
          <t>GABRIEL</t>
        </is>
      </c>
      <c r="C16" s="194" t="n">
        <v>153</v>
      </c>
      <c r="D16" s="194" t="inlineStr">
        <is>
          <t>PG</t>
        </is>
      </c>
      <c r="E16" s="53" t="n"/>
      <c r="F16" s="53" t="n"/>
      <c r="G16" s="53" t="n"/>
      <c r="H16" s="53" t="n"/>
      <c r="I16" s="53" t="n"/>
      <c r="J16" s="53" t="n"/>
    </row>
    <row r="17" ht="15.6" customHeight="1">
      <c r="A17" s="54" t="n">
        <v>45550</v>
      </c>
      <c r="B17" s="55" t="inlineStr">
        <is>
          <t>SALVATORE</t>
        </is>
      </c>
      <c r="C17" s="194" t="n">
        <v>298</v>
      </c>
      <c r="D17" s="194" t="inlineStr">
        <is>
          <t>PG</t>
        </is>
      </c>
      <c r="E17" s="53" t="n"/>
      <c r="F17" s="53" t="n"/>
      <c r="G17" s="53" t="n"/>
      <c r="H17" s="53" t="n"/>
      <c r="I17" s="53" t="n"/>
      <c r="J17" s="53" t="n"/>
    </row>
    <row r="18" ht="15.6" customHeight="1">
      <c r="A18" s="54" t="n">
        <v>45551</v>
      </c>
      <c r="B18" s="55" t="inlineStr">
        <is>
          <t>LUIZ</t>
        </is>
      </c>
      <c r="C18" s="194" t="n">
        <v>148</v>
      </c>
      <c r="D18" s="194" t="inlineStr">
        <is>
          <t>PG</t>
        </is>
      </c>
      <c r="E18" s="53" t="n"/>
      <c r="F18" s="53" t="n"/>
      <c r="G18" s="53" t="n">
        <v>1365</v>
      </c>
      <c r="H18" s="53" t="n"/>
      <c r="I18" s="53" t="n"/>
      <c r="J18" s="53" t="n"/>
    </row>
    <row r="19" ht="15.6" customHeight="1">
      <c r="A19" s="54" t="n">
        <v>45552</v>
      </c>
      <c r="B19" s="55" t="inlineStr">
        <is>
          <t>PAULO</t>
        </is>
      </c>
      <c r="C19" s="194" t="n">
        <v>395</v>
      </c>
      <c r="D19" s="194" t="inlineStr">
        <is>
          <t>PG</t>
        </is>
      </c>
      <c r="E19" s="53" t="n"/>
      <c r="F19" s="53" t="n"/>
      <c r="G19" s="53" t="n">
        <v>284</v>
      </c>
      <c r="H19" s="53" t="n"/>
      <c r="I19" s="53" t="n"/>
      <c r="J19" s="53" t="n"/>
    </row>
    <row r="20" ht="15.6" customHeight="1">
      <c r="A20" s="54" t="n">
        <v>45552</v>
      </c>
      <c r="B20" s="55" t="inlineStr">
        <is>
          <t>LUANA</t>
        </is>
      </c>
      <c r="C20" s="194" t="n">
        <v>225</v>
      </c>
      <c r="D20" s="194" t="inlineStr">
        <is>
          <t>PG</t>
        </is>
      </c>
      <c r="E20" s="53" t="inlineStr">
        <is>
          <t xml:space="preserve"> </t>
        </is>
      </c>
      <c r="F20" s="53" t="n"/>
      <c r="G20" s="53" t="n"/>
      <c r="H20" s="53" t="n"/>
      <c r="I20" s="53" t="n"/>
      <c r="J20" s="53" t="n"/>
    </row>
    <row r="21" ht="15.6" customHeight="1">
      <c r="A21" s="54" t="n">
        <v>45553</v>
      </c>
      <c r="B21" s="55" t="inlineStr">
        <is>
          <t>DEBORA</t>
        </is>
      </c>
      <c r="C21" s="194" t="n">
        <v>84</v>
      </c>
      <c r="D21" s="194" t="inlineStr">
        <is>
          <t>PG</t>
        </is>
      </c>
      <c r="E21" s="53" t="n"/>
      <c r="F21" s="98" t="inlineStr">
        <is>
          <t>HUMANIZAR A MARCA</t>
        </is>
      </c>
      <c r="G21" s="53" t="n"/>
      <c r="H21" s="53" t="n"/>
      <c r="I21" s="53" t="n"/>
      <c r="J21" s="53" t="n"/>
    </row>
    <row r="22" ht="15.6" customHeight="1">
      <c r="A22" s="54" t="n">
        <v>45555</v>
      </c>
      <c r="B22" s="55" t="inlineStr">
        <is>
          <t>ROBERTO</t>
        </is>
      </c>
      <c r="C22" s="194" t="n">
        <v>417</v>
      </c>
      <c r="D22" s="194" t="inlineStr">
        <is>
          <t>PG</t>
        </is>
      </c>
      <c r="E22" s="53" t="n"/>
      <c r="F22" s="98" t="inlineStr">
        <is>
          <t>INTERACAO NOS STORYS</t>
        </is>
      </c>
      <c r="G22" s="53" t="n"/>
      <c r="H22" s="53" t="n"/>
      <c r="I22" s="53" t="n"/>
      <c r="J22" s="53" t="n"/>
    </row>
    <row r="23" ht="15.6" customHeight="1">
      <c r="A23" s="54" t="n">
        <v>45557</v>
      </c>
      <c r="B23" s="55" t="inlineStr">
        <is>
          <t>MIGUEL</t>
        </is>
      </c>
      <c r="C23" s="194" t="n">
        <v>480</v>
      </c>
      <c r="D23" s="194" t="inlineStr">
        <is>
          <t>PG</t>
        </is>
      </c>
      <c r="E23" s="53" t="n"/>
      <c r="F23" s="53" t="n"/>
      <c r="G23" s="53" t="n"/>
      <c r="H23" s="53" t="n"/>
      <c r="I23" s="53" t="n"/>
      <c r="J23" s="53" t="n"/>
    </row>
    <row r="24" ht="15.6" customHeight="1">
      <c r="A24" s="54" t="n">
        <v>45558</v>
      </c>
      <c r="B24" s="55" t="inlineStr">
        <is>
          <t>MAYSA</t>
        </is>
      </c>
      <c r="C24" s="194" t="n">
        <v>160</v>
      </c>
      <c r="D24" s="194" t="inlineStr">
        <is>
          <t>PG</t>
        </is>
      </c>
      <c r="E24" s="53" t="n"/>
      <c r="F24" s="53" t="n"/>
      <c r="G24" s="53" t="n"/>
      <c r="H24" s="53" t="n"/>
      <c r="I24" s="53" t="n"/>
      <c r="J24" s="53" t="n"/>
    </row>
    <row r="25" ht="15.6" customHeight="1">
      <c r="A25" s="54" t="n">
        <v>45559</v>
      </c>
      <c r="B25" s="55" t="inlineStr">
        <is>
          <t>NITERCIA</t>
        </is>
      </c>
      <c r="C25" s="194" t="n">
        <v>1520</v>
      </c>
      <c r="D25" s="194" t="inlineStr">
        <is>
          <t>PG</t>
        </is>
      </c>
      <c r="E25" s="53" t="n"/>
      <c r="F25" s="53" t="n"/>
      <c r="G25" s="53" t="n"/>
      <c r="H25" s="53" t="n"/>
      <c r="I25" s="53" t="n"/>
      <c r="J25" s="53" t="n"/>
    </row>
    <row r="26" ht="15.6" customHeight="1">
      <c r="A26" s="54" t="n">
        <v>45561</v>
      </c>
      <c r="B26" s="55" t="inlineStr">
        <is>
          <t xml:space="preserve">BRUNO </t>
        </is>
      </c>
      <c r="C26" s="194" t="n">
        <v>148</v>
      </c>
      <c r="D26" s="194" t="inlineStr">
        <is>
          <t>PG</t>
        </is>
      </c>
      <c r="E26" s="53" t="n"/>
      <c r="F26" s="53" t="n"/>
      <c r="G26" s="53" t="n"/>
      <c r="H26" s="53" t="n"/>
      <c r="I26" s="53" t="n"/>
      <c r="J26" s="53" t="n"/>
    </row>
    <row r="27" ht="15.6" customHeight="1">
      <c r="A27" s="54" t="n">
        <v>45561</v>
      </c>
      <c r="B27" s="55" t="inlineStr">
        <is>
          <t>BRUNO DEZAJACOMO</t>
        </is>
      </c>
      <c r="C27" s="194" t="n">
        <v>571</v>
      </c>
      <c r="D27" s="194" t="inlineStr">
        <is>
          <t>PG</t>
        </is>
      </c>
      <c r="E27" s="53" t="n"/>
      <c r="F27" s="53" t="n"/>
      <c r="G27" s="53" t="n"/>
      <c r="H27" s="53" t="n"/>
      <c r="I27" s="53" t="n"/>
      <c r="J27" s="53" t="n"/>
    </row>
    <row r="28" ht="15.6" customHeight="1">
      <c r="A28" s="54" t="n">
        <v>45561</v>
      </c>
      <c r="B28" s="55" t="inlineStr">
        <is>
          <t>ANDRESSA</t>
        </is>
      </c>
      <c r="C28" s="194" t="n">
        <v>171</v>
      </c>
      <c r="D28" s="194" t="inlineStr">
        <is>
          <t>PG</t>
        </is>
      </c>
      <c r="E28" s="53" t="n"/>
      <c r="F28" s="53" t="n"/>
      <c r="G28" s="53" t="n"/>
      <c r="H28" s="53" t="n"/>
      <c r="I28" s="53" t="n"/>
      <c r="J28" s="53" t="n"/>
    </row>
    <row r="29" ht="15.6" customHeight="1">
      <c r="A29" s="54" t="n">
        <v>45562</v>
      </c>
      <c r="B29" s="55" t="inlineStr">
        <is>
          <t xml:space="preserve">CARLOS </t>
        </is>
      </c>
      <c r="C29" s="194" t="n">
        <v>123</v>
      </c>
      <c r="D29" s="194" t="inlineStr">
        <is>
          <t>PG</t>
        </is>
      </c>
      <c r="E29" s="53" t="n"/>
      <c r="F29" s="53" t="n"/>
      <c r="G29" s="53" t="n"/>
      <c r="H29" s="53" t="n"/>
      <c r="I29" s="53" t="n"/>
      <c r="J29" s="53" t="n"/>
    </row>
    <row r="30" ht="15.6" customHeight="1">
      <c r="A30" s="54" t="n"/>
      <c r="B30" s="55" t="n"/>
      <c r="C30" s="194" t="n"/>
      <c r="D30" s="194" t="n"/>
      <c r="E30" s="53" t="n"/>
      <c r="F30" s="53" t="n"/>
      <c r="G30" s="53" t="n"/>
      <c r="H30" s="53" t="n"/>
      <c r="I30" s="53" t="n"/>
      <c r="J30" s="53" t="n"/>
    </row>
    <row r="31" ht="15.6" customHeight="1">
      <c r="A31" s="54" t="n"/>
      <c r="B31" s="55" t="n"/>
      <c r="C31" s="194" t="n"/>
      <c r="D31" s="194" t="n"/>
      <c r="E31" s="53" t="n"/>
      <c r="F31" s="53" t="n"/>
      <c r="G31" s="53" t="n"/>
      <c r="H31" s="53" t="n"/>
      <c r="I31" s="53" t="n"/>
      <c r="J31" s="53" t="n"/>
    </row>
    <row r="32" ht="15.6" customHeight="1">
      <c r="A32" s="54" t="n"/>
      <c r="B32" s="55" t="n"/>
      <c r="C32" s="194" t="n"/>
      <c r="D32" s="194" t="n"/>
      <c r="E32" s="53" t="n"/>
      <c r="F32" s="53" t="n"/>
      <c r="G32" s="53" t="n"/>
      <c r="H32" s="53" t="n"/>
      <c r="I32" s="53" t="n"/>
      <c r="J32" s="53" t="n"/>
    </row>
    <row r="33" ht="15.6" customHeight="1">
      <c r="A33" s="54" t="n"/>
      <c r="B33" s="55" t="n"/>
      <c r="C33" s="194" t="n"/>
      <c r="D33" s="194" t="n"/>
      <c r="E33" s="53" t="n"/>
      <c r="F33" s="53" t="n"/>
      <c r="G33" s="53" t="n"/>
      <c r="H33" s="53" t="n"/>
      <c r="I33" s="53" t="n"/>
      <c r="J33" s="53" t="n"/>
    </row>
    <row r="34" ht="15.6" customHeight="1">
      <c r="A34" s="54" t="n"/>
      <c r="B34" s="55" t="n"/>
      <c r="C34" s="194" t="n"/>
      <c r="D34" s="194" t="n"/>
      <c r="E34" s="53" t="n"/>
      <c r="F34" s="53" t="n"/>
      <c r="G34" s="53" t="n"/>
      <c r="H34" s="53" t="n"/>
      <c r="I34" s="53" t="n"/>
      <c r="J34" s="53" t="n"/>
    </row>
    <row r="35" ht="15.6" customHeight="1">
      <c r="A35" s="54" t="n"/>
      <c r="B35" s="55" t="n"/>
      <c r="C35" s="194" t="n"/>
      <c r="D35" s="194" t="n"/>
      <c r="E35" s="53" t="n"/>
      <c r="F35" s="53" t="n"/>
      <c r="G35" s="53" t="n"/>
      <c r="H35" s="53" t="n"/>
      <c r="I35" s="53" t="n"/>
      <c r="J35" s="53" t="n"/>
    </row>
    <row r="36" ht="15.6" customHeight="1">
      <c r="A36" s="54" t="n"/>
      <c r="B36" s="55" t="n"/>
      <c r="C36" s="194" t="n"/>
      <c r="D36" s="194" t="n"/>
      <c r="E36" s="53" t="n"/>
      <c r="F36" s="53" t="n"/>
      <c r="G36" s="53" t="n"/>
      <c r="H36" s="53" t="n"/>
      <c r="I36" s="53" t="n"/>
      <c r="J36" s="53" t="n"/>
    </row>
    <row r="37" ht="15.6" customHeight="1">
      <c r="A37" s="54" t="n"/>
      <c r="B37" s="55" t="n"/>
      <c r="C37" s="194" t="n"/>
      <c r="D37" s="194" t="n"/>
      <c r="E37" s="53" t="n"/>
      <c r="F37" s="53" t="n"/>
      <c r="G37" s="53" t="n"/>
      <c r="H37" s="53" t="n"/>
      <c r="I37" s="53" t="n"/>
      <c r="J37" s="53" t="n"/>
    </row>
    <row r="38" ht="15.6" customHeight="1">
      <c r="A38" s="54" t="n"/>
      <c r="B38" s="55" t="n"/>
      <c r="C38" s="194" t="n"/>
      <c r="D38" s="194" t="n"/>
      <c r="E38" s="53" t="n"/>
      <c r="F38" s="53" t="n"/>
      <c r="G38" s="53" t="n"/>
      <c r="H38" s="53" t="n"/>
      <c r="I38" s="53" t="n"/>
      <c r="J38" s="53" t="n"/>
    </row>
    <row r="39" ht="15.6" customHeight="1">
      <c r="A39" s="54" t="n"/>
      <c r="B39" s="55" t="n"/>
      <c r="C39" s="194" t="n"/>
      <c r="D39" s="194" t="n"/>
    </row>
    <row r="40" ht="15.6" customHeight="1">
      <c r="A40" s="54" t="n"/>
      <c r="B40" s="55" t="n"/>
      <c r="C40" s="194" t="n"/>
      <c r="D40" s="194" t="n"/>
    </row>
    <row r="41" ht="15.6" customHeight="1">
      <c r="A41" s="54" t="n"/>
      <c r="B41" s="55" t="n"/>
      <c r="C41" s="194" t="n"/>
      <c r="D41" s="194" t="n"/>
    </row>
    <row r="42" ht="15.6" customHeight="1">
      <c r="A42" s="54" t="n"/>
      <c r="B42" s="55" t="n"/>
      <c r="C42" s="194" t="n"/>
      <c r="D42" s="194" t="n"/>
    </row>
    <row r="43" ht="15.6" customHeight="1">
      <c r="A43" s="54" t="n"/>
      <c r="B43" s="55" t="n"/>
      <c r="C43" s="194" t="n"/>
      <c r="D43" s="194" t="n"/>
    </row>
    <row r="44" ht="15.6" customHeight="1">
      <c r="A44" s="54" t="n"/>
      <c r="B44" s="55" t="n"/>
      <c r="C44" s="194" t="n"/>
      <c r="D44" s="194" t="n"/>
    </row>
    <row r="45" ht="15.6" customHeight="1">
      <c r="A45" s="54" t="n"/>
      <c r="B45" s="55" t="n"/>
      <c r="C45" s="194" t="n"/>
      <c r="D45" s="194" t="n"/>
    </row>
    <row r="46" ht="15.6" customHeight="1">
      <c r="A46" s="54" t="n"/>
      <c r="B46" s="55" t="n"/>
      <c r="C46" s="194" t="n"/>
      <c r="D46" s="194" t="n"/>
    </row>
    <row r="47" ht="15.6" customHeight="1">
      <c r="A47" s="54" t="n"/>
      <c r="B47" s="55" t="n"/>
      <c r="C47" s="194" t="n"/>
      <c r="D47" s="194" t="n"/>
    </row>
    <row r="48" ht="15.6" customHeight="1">
      <c r="A48" s="54" t="n"/>
      <c r="B48" s="55" t="n"/>
      <c r="C48" s="194" t="n"/>
      <c r="D48" s="194" t="n"/>
    </row>
    <row r="49" ht="15.6" customHeight="1">
      <c r="A49" s="54" t="n"/>
      <c r="B49" s="55" t="n"/>
      <c r="C49" s="194" t="n"/>
      <c r="D49" s="194" t="n"/>
    </row>
  </sheetData>
  <mergeCells count="2">
    <mergeCell ref="E2:E3"/>
    <mergeCell ref="G6:H6"/>
  </mergeCells>
  <conditionalFormatting sqref="D2:D1048576">
    <cfRule type="containsText" priority="1" operator="containsText" dxfId="1" text="AG">
      <formula>NOT(ISERROR(SEARCH("AG",D2)))</formula>
    </cfRule>
    <cfRule type="containsText" priority="2" operator="containsText" dxfId="0" text="PG">
      <formula>NOT(ISERROR(SEARCH("PG",D2)))</formula>
    </cfRule>
  </conditionalFormatting>
  <dataValidations count="1">
    <dataValidation sqref="D2:D1048576" showDropDown="0" showInputMessage="1" showErrorMessage="1" allowBlank="1" type="list">
      <formula1>"PG,AG"</formula1>
    </dataValidation>
  </dataValidations>
  <pageMargins left="0.511811024" right="0.511811024" top="0.787401575" bottom="0.787401575" header="0.31496062" footer="0.31496062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9"/>
  <sheetViews>
    <sheetView topLeftCell="A13" zoomScale="110" zoomScaleNormal="110" workbookViewId="0">
      <selection activeCell="C25" sqref="C25:C35"/>
    </sheetView>
  </sheetViews>
  <sheetFormatPr baseColWidth="8" defaultRowHeight="14.4"/>
  <cols>
    <col width="17.44140625" customWidth="1" min="1" max="1"/>
    <col width="34.5546875" customWidth="1" min="2" max="2"/>
    <col width="15.88671875" customWidth="1" min="3" max="3"/>
    <col width="17.44140625" customWidth="1" min="4" max="4"/>
    <col width="40.44140625" customWidth="1" min="5" max="5"/>
    <col width="32.88671875" customWidth="1" min="6" max="6"/>
    <col width="18.33203125" bestFit="1" customWidth="1" min="7" max="8"/>
    <col width="27.6640625" bestFit="1" customWidth="1" min="9" max="9"/>
  </cols>
  <sheetData>
    <row r="1" ht="30" customFormat="1" customHeight="1" s="91">
      <c r="A1" s="83" t="inlineStr">
        <is>
          <t>DATA</t>
        </is>
      </c>
      <c r="B1" s="83" t="inlineStr">
        <is>
          <t>NOME</t>
        </is>
      </c>
      <c r="C1" s="193" t="inlineStr">
        <is>
          <t xml:space="preserve"> VALOR</t>
        </is>
      </c>
      <c r="D1" s="83" t="inlineStr">
        <is>
          <t>STATUS</t>
        </is>
      </c>
      <c r="E1" s="85" t="inlineStr">
        <is>
          <t>FAT. TOTAL</t>
        </is>
      </c>
      <c r="F1" s="86" t="inlineStr">
        <is>
          <t>INVEST.TOTAL</t>
        </is>
      </c>
      <c r="G1" s="87" t="inlineStr">
        <is>
          <t>FACEBOOK</t>
        </is>
      </c>
      <c r="H1" s="88" t="inlineStr">
        <is>
          <t>GOOGLE</t>
        </is>
      </c>
      <c r="I1" s="89" t="inlineStr">
        <is>
          <t>CUSTO PRODUTOS</t>
        </is>
      </c>
      <c r="J1" s="90" t="n"/>
    </row>
    <row r="2" ht="22.8" customHeight="1">
      <c r="A2" s="54" t="n">
        <v>45567</v>
      </c>
      <c r="B2" s="55" t="inlineStr">
        <is>
          <t>ANDRE</t>
        </is>
      </c>
      <c r="C2" s="194" t="n">
        <v>432</v>
      </c>
      <c r="D2" s="194" t="inlineStr">
        <is>
          <t>PG</t>
        </is>
      </c>
      <c r="E2" s="195">
        <f>SUM(C1:C193)</f>
        <v/>
      </c>
      <c r="F2" s="196">
        <f>SUM(G2+H2)</f>
        <v/>
      </c>
      <c r="G2" s="197" t="n">
        <v>1700</v>
      </c>
      <c r="H2" s="198" t="n">
        <v>300</v>
      </c>
      <c r="I2" s="199" t="n"/>
      <c r="J2" s="53" t="n"/>
    </row>
    <row r="3" ht="26.25" customHeight="1">
      <c r="A3" s="54" t="n">
        <v>45569</v>
      </c>
      <c r="B3" s="55" t="inlineStr">
        <is>
          <t>ROBERTO</t>
        </is>
      </c>
      <c r="C3" s="194" t="n">
        <v>706</v>
      </c>
      <c r="D3" s="194" t="inlineStr">
        <is>
          <t>PG</t>
        </is>
      </c>
      <c r="E3" s="200" t="n"/>
      <c r="F3" s="201" t="n"/>
      <c r="G3" s="201" t="n"/>
      <c r="H3" s="201" t="n"/>
      <c r="I3" s="53" t="n"/>
      <c r="J3" s="53" t="n"/>
    </row>
    <row r="4" ht="22.2" customHeight="1">
      <c r="A4" s="54" t="n">
        <v>45570</v>
      </c>
      <c r="B4" s="55" t="inlineStr">
        <is>
          <t>RODRIGO</t>
        </is>
      </c>
      <c r="C4" s="194" t="n">
        <v>318</v>
      </c>
      <c r="D4" s="194" t="inlineStr">
        <is>
          <t>PG</t>
        </is>
      </c>
      <c r="E4" s="94" t="inlineStr">
        <is>
          <t>META</t>
        </is>
      </c>
      <c r="F4" s="95" t="inlineStr">
        <is>
          <t>3,5X ROI</t>
        </is>
      </c>
      <c r="G4" s="53" t="n"/>
      <c r="H4" s="53" t="n"/>
      <c r="I4" s="53" t="n"/>
      <c r="J4" s="53" t="n"/>
    </row>
    <row r="5" ht="15.6" customHeight="1">
      <c r="A5" s="54" t="n">
        <v>6</v>
      </c>
      <c r="B5" s="55" t="inlineStr">
        <is>
          <t>ALCIDES</t>
        </is>
      </c>
      <c r="C5" s="194" t="n">
        <v>242</v>
      </c>
      <c r="D5" s="194" t="inlineStr">
        <is>
          <t>PG</t>
        </is>
      </c>
      <c r="E5" s="53" t="n"/>
      <c r="F5" s="53" t="n"/>
      <c r="G5" s="53" t="n"/>
      <c r="H5" s="53" t="n"/>
      <c r="I5" s="53" t="n"/>
      <c r="J5" s="53" t="n"/>
    </row>
    <row r="6" ht="16.8" customHeight="1">
      <c r="A6" s="54" t="n">
        <v>45572</v>
      </c>
      <c r="B6" s="55" t="inlineStr">
        <is>
          <t>FERNANDA</t>
        </is>
      </c>
      <c r="C6" s="194" t="n">
        <v>170</v>
      </c>
      <c r="D6" s="194" t="inlineStr">
        <is>
          <t>PG</t>
        </is>
      </c>
      <c r="E6" s="112" t="inlineStr">
        <is>
          <t xml:space="preserve"> LIQUIDO</t>
        </is>
      </c>
      <c r="F6" s="113" t="inlineStr">
        <is>
          <t>ROI ATUAL</t>
        </is>
      </c>
      <c r="G6" s="139" t="inlineStr">
        <is>
          <t>retorno sobre investimento</t>
        </is>
      </c>
      <c r="H6" s="202" t="n"/>
      <c r="I6" s="53" t="n"/>
      <c r="J6" s="53" t="n"/>
    </row>
    <row r="7" ht="22.2" customHeight="1">
      <c r="A7" s="54" t="n">
        <v>45573</v>
      </c>
      <c r="B7" s="55" t="inlineStr">
        <is>
          <t>JORGE</t>
        </is>
      </c>
      <c r="C7" s="194" t="n">
        <v>160</v>
      </c>
      <c r="D7" s="194" t="inlineStr">
        <is>
          <t>PG</t>
        </is>
      </c>
      <c r="E7" s="203">
        <f>SUM(C2:C6,C7:C8,C9:C10,C11:C13,C14:C24,C25:C26,C27:C31,C35:C39,C41,C43:C48)</f>
        <v/>
      </c>
      <c r="F7" s="59">
        <f>E2/F2</f>
        <v/>
      </c>
      <c r="G7" s="53" t="n"/>
      <c r="H7" s="53" t="n"/>
      <c r="I7" s="53" t="n"/>
      <c r="J7" s="53" t="n"/>
    </row>
    <row r="8" ht="22.2" customHeight="1">
      <c r="A8" s="54" t="n">
        <v>45573</v>
      </c>
      <c r="B8" s="55" t="inlineStr">
        <is>
          <t>GUSTAVO</t>
        </is>
      </c>
      <c r="C8" s="194" t="n">
        <v>506</v>
      </c>
      <c r="D8" s="194" t="inlineStr">
        <is>
          <t>PG</t>
        </is>
      </c>
      <c r="E8" s="59">
        <f>E7/F2</f>
        <v/>
      </c>
      <c r="F8" s="53" t="n"/>
      <c r="G8" s="53" t="n"/>
      <c r="H8" s="53" t="n"/>
      <c r="I8" s="53" t="n"/>
      <c r="J8" s="53" t="n"/>
    </row>
    <row r="9" ht="15.6" customHeight="1">
      <c r="A9" s="54" t="n">
        <v>45574</v>
      </c>
      <c r="B9" s="55" t="inlineStr">
        <is>
          <t>SELIANE</t>
        </is>
      </c>
      <c r="C9" s="194" t="n">
        <v>153</v>
      </c>
      <c r="D9" s="194" t="inlineStr">
        <is>
          <t>PG</t>
        </is>
      </c>
      <c r="E9" s="53" t="n"/>
      <c r="F9" s="204" t="n"/>
      <c r="G9" s="53" t="n"/>
      <c r="H9" s="53" t="n"/>
      <c r="I9" s="53" t="n"/>
      <c r="J9" s="53" t="n"/>
    </row>
    <row r="10" ht="15.6" customHeight="1">
      <c r="A10" s="54" t="n">
        <v>45576</v>
      </c>
      <c r="B10" s="55" t="inlineStr">
        <is>
          <t>FELIPE</t>
        </is>
      </c>
      <c r="C10" s="194" t="n">
        <v>167</v>
      </c>
      <c r="D10" s="194" t="inlineStr">
        <is>
          <t>PG</t>
        </is>
      </c>
      <c r="E10" s="98" t="inlineStr">
        <is>
          <t>alcance</t>
        </is>
      </c>
      <c r="F10" s="98" t="inlineStr">
        <is>
          <t>RMK</t>
        </is>
      </c>
      <c r="G10" s="53" t="n"/>
      <c r="H10" s="53" t="n"/>
      <c r="I10" s="53" t="n"/>
      <c r="J10" s="53" t="n"/>
    </row>
    <row r="11" ht="15.6" customHeight="1">
      <c r="A11" s="54" t="n">
        <v>45577</v>
      </c>
      <c r="B11" s="55" t="inlineStr">
        <is>
          <t>ALCEMIR</t>
        </is>
      </c>
      <c r="C11" s="194" t="n">
        <v>160</v>
      </c>
      <c r="D11" s="194" t="inlineStr">
        <is>
          <t>PG</t>
        </is>
      </c>
      <c r="E11" s="98" t="inlineStr">
        <is>
          <t>regiao</t>
        </is>
      </c>
      <c r="F11" s="98" t="inlineStr">
        <is>
          <t>PAGE VIEW ACESSORIOS 15D</t>
        </is>
      </c>
      <c r="G11" s="53" t="n"/>
      <c r="H11" s="53" t="n"/>
      <c r="I11" s="53" t="n"/>
      <c r="J11" s="53" t="n"/>
    </row>
    <row r="12" ht="15.6" customHeight="1">
      <c r="A12" s="54" t="n">
        <v>45577</v>
      </c>
      <c r="B12" s="55" t="inlineStr">
        <is>
          <t>MARCILENE</t>
        </is>
      </c>
      <c r="C12" s="194" t="n">
        <v>157</v>
      </c>
      <c r="D12" s="194" t="inlineStr">
        <is>
          <t>PG</t>
        </is>
      </c>
      <c r="E12" s="98" t="inlineStr">
        <is>
          <t>produto campeao</t>
        </is>
      </c>
      <c r="F12" s="110" t="inlineStr">
        <is>
          <t>ADC AO CARRINHO 7D</t>
        </is>
      </c>
      <c r="G12" s="53" t="n"/>
      <c r="H12" s="53" t="n"/>
      <c r="I12" s="53" t="n"/>
      <c r="J12" s="53" t="n"/>
    </row>
    <row r="13" ht="15.6" customHeight="1">
      <c r="A13" s="54" t="n">
        <v>45578</v>
      </c>
      <c r="B13" s="55" t="inlineStr">
        <is>
          <t>LUIS</t>
        </is>
      </c>
      <c r="C13" s="194" t="n">
        <v>158</v>
      </c>
      <c r="D13" s="194" t="inlineStr">
        <is>
          <t>PG</t>
        </is>
      </c>
      <c r="E13" s="98" t="n"/>
      <c r="F13" s="110" t="inlineStr">
        <is>
          <t>FINALIZA 7D</t>
        </is>
      </c>
      <c r="G13" s="53" t="n"/>
      <c r="H13" s="53" t="n"/>
      <c r="I13" s="53" t="n"/>
      <c r="J13" s="53" t="n"/>
    </row>
    <row r="14" ht="15.6" customHeight="1">
      <c r="A14" s="54" t="n">
        <v>45578</v>
      </c>
      <c r="B14" s="55" t="inlineStr">
        <is>
          <t>EDUARDO</t>
        </is>
      </c>
      <c r="C14" s="194" t="n">
        <v>178</v>
      </c>
      <c r="D14" s="194" t="inlineStr">
        <is>
          <t>PG</t>
        </is>
      </c>
      <c r="E14" s="53" t="n"/>
      <c r="F14" s="111" t="inlineStr">
        <is>
          <t>ENVOLV INSTA 30D</t>
        </is>
      </c>
      <c r="G14" s="53" t="n"/>
      <c r="H14" s="53" t="n"/>
      <c r="I14" s="53" t="n"/>
      <c r="J14" s="53" t="n"/>
    </row>
    <row r="15" ht="15.6" customHeight="1">
      <c r="A15" s="54" t="n">
        <v>45578</v>
      </c>
      <c r="B15" s="55" t="inlineStr">
        <is>
          <t>ISIDORO</t>
        </is>
      </c>
      <c r="C15" s="194" t="n">
        <v>160</v>
      </c>
      <c r="D15" s="194" t="inlineStr">
        <is>
          <t>PG</t>
        </is>
      </c>
      <c r="E15" s="53" t="n"/>
      <c r="F15" s="111" t="inlineStr">
        <is>
          <t>ENVOLV FACE 30D</t>
        </is>
      </c>
      <c r="G15" s="53" t="n"/>
      <c r="H15" s="53" t="n"/>
      <c r="I15" s="53" t="n"/>
      <c r="J15" s="53" t="n"/>
    </row>
    <row r="16" ht="15.6" customHeight="1">
      <c r="A16" s="54" t="n">
        <v>45578</v>
      </c>
      <c r="B16" s="55" t="inlineStr">
        <is>
          <t>CRISTIANO</t>
        </is>
      </c>
      <c r="C16" s="194" t="n">
        <v>2392</v>
      </c>
      <c r="D16" s="194" t="inlineStr">
        <is>
          <t>PG</t>
        </is>
      </c>
      <c r="E16" s="53" t="n"/>
      <c r="F16" s="53" t="n"/>
      <c r="G16" s="53" t="n"/>
      <c r="H16" s="53" t="n"/>
      <c r="I16" s="53" t="n"/>
      <c r="J16" s="53" t="n"/>
    </row>
    <row r="17" ht="15.6" customHeight="1">
      <c r="A17" s="54" t="n">
        <v>45580</v>
      </c>
      <c r="B17" s="55" t="inlineStr">
        <is>
          <t>FELIPE</t>
        </is>
      </c>
      <c r="C17" s="194" t="n">
        <v>158</v>
      </c>
      <c r="D17" s="194" t="inlineStr">
        <is>
          <t>PG</t>
        </is>
      </c>
      <c r="E17" s="53" t="n"/>
      <c r="F17" s="53" t="n"/>
      <c r="G17" s="53" t="n"/>
      <c r="H17" s="53" t="n"/>
      <c r="I17" s="53" t="n"/>
      <c r="J17" s="53" t="n"/>
    </row>
    <row r="18" ht="15.6" customHeight="1">
      <c r="A18" s="54" t="n">
        <v>45581</v>
      </c>
      <c r="B18" s="55" t="inlineStr">
        <is>
          <t>BRUNO</t>
        </is>
      </c>
      <c r="C18" s="194" t="n">
        <v>168</v>
      </c>
      <c r="D18" s="194" t="inlineStr">
        <is>
          <t>PG</t>
        </is>
      </c>
      <c r="E18" s="98" t="n">
        <v>3173</v>
      </c>
      <c r="F18" s="53" t="n"/>
      <c r="G18" s="53" t="n"/>
      <c r="H18" s="53" t="n"/>
      <c r="I18" s="53" t="n"/>
      <c r="J18" s="53" t="n"/>
    </row>
    <row r="19" ht="15.6" customHeight="1">
      <c r="A19" s="54" t="n">
        <v>45581</v>
      </c>
      <c r="B19" s="55" t="inlineStr">
        <is>
          <t>PAULO</t>
        </is>
      </c>
      <c r="C19" s="194" t="n">
        <v>158</v>
      </c>
      <c r="D19" s="194" t="inlineStr">
        <is>
          <t>PG</t>
        </is>
      </c>
      <c r="E19" s="98" t="n">
        <v>8314</v>
      </c>
      <c r="F19" s="53" t="n"/>
      <c r="G19" s="53" t="n"/>
      <c r="H19" s="53" t="n"/>
      <c r="I19" s="53" t="n"/>
      <c r="J19" s="53" t="n"/>
    </row>
    <row r="20" ht="15.6" customHeight="1">
      <c r="A20" s="54" t="n">
        <v>45582</v>
      </c>
      <c r="B20" s="55" t="inlineStr">
        <is>
          <t>JOAO</t>
        </is>
      </c>
      <c r="C20" s="194" t="n">
        <v>845</v>
      </c>
      <c r="D20" s="194" t="inlineStr">
        <is>
          <t>PG</t>
        </is>
      </c>
      <c r="E20" s="53" t="inlineStr">
        <is>
          <t xml:space="preserve"> </t>
        </is>
      </c>
      <c r="F20" s="53" t="n"/>
      <c r="G20" s="53" t="n"/>
      <c r="H20" s="53" t="n"/>
      <c r="I20" s="53" t="n"/>
      <c r="J20" s="53" t="n"/>
    </row>
    <row r="21" ht="15.6" customHeight="1">
      <c r="A21" s="54" t="n">
        <v>45583</v>
      </c>
      <c r="B21" s="55" t="inlineStr">
        <is>
          <t>CAIO MUSKA</t>
        </is>
      </c>
      <c r="C21" s="194" t="n">
        <v>158</v>
      </c>
      <c r="D21" s="194" t="inlineStr">
        <is>
          <t>PG</t>
        </is>
      </c>
      <c r="E21" s="53" t="n"/>
      <c r="F21" s="98" t="inlineStr">
        <is>
          <t>HUMANIZAR A MARCA</t>
        </is>
      </c>
      <c r="G21" s="53" t="n"/>
      <c r="H21" s="53" t="n"/>
      <c r="I21" s="53" t="n"/>
      <c r="J21" s="53" t="n"/>
    </row>
    <row r="22" ht="15.6" customHeight="1">
      <c r="A22" s="54" t="n">
        <v>45583</v>
      </c>
      <c r="B22" s="55" t="inlineStr">
        <is>
          <t>KAIO</t>
        </is>
      </c>
      <c r="C22" s="194" t="n">
        <v>352</v>
      </c>
      <c r="D22" s="194" t="inlineStr">
        <is>
          <t>PG</t>
        </is>
      </c>
      <c r="E22" s="53" t="n"/>
      <c r="F22" s="98" t="inlineStr">
        <is>
          <t>INTERACAO NOS STORYS</t>
        </is>
      </c>
      <c r="G22" s="53" t="n"/>
      <c r="H22" s="53" t="n"/>
      <c r="I22" s="53" t="n"/>
      <c r="J22" s="53" t="n"/>
    </row>
    <row r="23" ht="15.6" customHeight="1">
      <c r="A23" s="54" t="n">
        <v>45585</v>
      </c>
      <c r="B23" s="55" t="inlineStr">
        <is>
          <t>PABULO</t>
        </is>
      </c>
      <c r="C23" s="194" t="n">
        <v>159</v>
      </c>
      <c r="D23" s="194" t="inlineStr">
        <is>
          <t>PG</t>
        </is>
      </c>
      <c r="E23" s="98" t="n">
        <v>985</v>
      </c>
      <c r="F23" s="53" t="inlineStr">
        <is>
          <t>FACE</t>
        </is>
      </c>
      <c r="G23" s="53" t="n"/>
      <c r="H23" s="53" t="n"/>
      <c r="I23" s="53" t="n"/>
      <c r="J23" s="53" t="n"/>
    </row>
    <row r="24" ht="15.6" customHeight="1">
      <c r="A24" s="54" t="n">
        <v>20</v>
      </c>
      <c r="B24" s="55" t="inlineStr">
        <is>
          <t>BRUNO LOPES</t>
        </is>
      </c>
      <c r="C24" s="194" t="n">
        <v>257</v>
      </c>
      <c r="D24" s="194" t="inlineStr">
        <is>
          <t>PG</t>
        </is>
      </c>
      <c r="E24" s="98" t="n">
        <v>305</v>
      </c>
      <c r="F24" s="53" t="inlineStr">
        <is>
          <t>GOOGLE</t>
        </is>
      </c>
      <c r="G24" s="53" t="n"/>
      <c r="H24" s="53" t="n"/>
      <c r="I24" s="53" t="n"/>
      <c r="J24" s="53" t="n"/>
    </row>
    <row r="25" ht="15.6" customHeight="1">
      <c r="A25" s="54" t="n">
        <v>45587</v>
      </c>
      <c r="B25" s="55" t="inlineStr">
        <is>
          <t>VICTOR</t>
        </is>
      </c>
      <c r="C25" s="194" t="n">
        <v>306</v>
      </c>
      <c r="D25" s="194" t="inlineStr">
        <is>
          <t>PG</t>
        </is>
      </c>
      <c r="E25" s="53" t="n"/>
      <c r="F25" s="53" t="n"/>
      <c r="G25" s="53" t="n"/>
      <c r="H25" s="53" t="n"/>
      <c r="I25" s="53" t="n"/>
      <c r="J25" s="53" t="n"/>
    </row>
    <row r="26" ht="15.6" customHeight="1">
      <c r="A26" s="54" t="n">
        <v>45587</v>
      </c>
      <c r="B26" s="55" t="inlineStr">
        <is>
          <t>LEONARDO</t>
        </is>
      </c>
      <c r="C26" s="194" t="n">
        <v>299</v>
      </c>
      <c r="D26" s="194" t="inlineStr">
        <is>
          <t>PG</t>
        </is>
      </c>
      <c r="E26" s="53" t="n"/>
      <c r="F26" s="53" t="n"/>
      <c r="G26" s="53" t="n"/>
      <c r="H26" s="53" t="n"/>
      <c r="I26" s="53" t="n"/>
      <c r="J26" s="53" t="n"/>
    </row>
    <row r="27" ht="15.6" customHeight="1">
      <c r="A27" s="54" t="n">
        <v>45587</v>
      </c>
      <c r="B27" s="55" t="inlineStr">
        <is>
          <t>AUDINEI</t>
        </is>
      </c>
      <c r="C27" s="194" t="n">
        <v>141</v>
      </c>
      <c r="D27" s="194" t="inlineStr">
        <is>
          <t>PG</t>
        </is>
      </c>
      <c r="E27" s="53" t="n"/>
      <c r="F27" s="53" t="n"/>
      <c r="G27" s="53" t="n"/>
      <c r="H27" s="53" t="n"/>
      <c r="I27" s="53" t="n"/>
      <c r="J27" s="53" t="n"/>
    </row>
    <row r="28" ht="15.6" customHeight="1">
      <c r="A28" s="54" t="n">
        <v>45588</v>
      </c>
      <c r="B28" s="55" t="inlineStr">
        <is>
          <t>MARLEY</t>
        </is>
      </c>
      <c r="C28" s="194" t="n">
        <v>299</v>
      </c>
      <c r="D28" s="194" t="inlineStr">
        <is>
          <t>PG</t>
        </is>
      </c>
      <c r="E28" s="53" t="n"/>
      <c r="F28" s="53" t="n"/>
      <c r="G28" s="53" t="n"/>
      <c r="H28" s="53" t="n"/>
      <c r="I28" s="53" t="n"/>
      <c r="J28" s="53" t="n"/>
    </row>
    <row r="29" ht="15.6" customHeight="1">
      <c r="A29" s="54" t="n">
        <v>45591</v>
      </c>
      <c r="B29" s="55" t="inlineStr">
        <is>
          <t>VICTOR</t>
        </is>
      </c>
      <c r="C29" s="194" t="n">
        <v>305</v>
      </c>
      <c r="D29" s="194" t="inlineStr">
        <is>
          <t>PG</t>
        </is>
      </c>
      <c r="E29" s="53" t="n"/>
      <c r="F29" s="53" t="n"/>
      <c r="G29" s="53" t="n"/>
      <c r="H29" s="53" t="n"/>
      <c r="I29" s="53" t="n"/>
      <c r="J29" s="53" t="n"/>
    </row>
    <row r="30" ht="15.6" customHeight="1">
      <c r="A30" s="54" t="n">
        <v>45592</v>
      </c>
      <c r="B30" s="55" t="inlineStr">
        <is>
          <t xml:space="preserve">CARLOS </t>
        </is>
      </c>
      <c r="C30" s="194" t="n">
        <v>145</v>
      </c>
      <c r="D30" s="194" t="inlineStr">
        <is>
          <t>PG</t>
        </is>
      </c>
      <c r="E30" s="53" t="n"/>
      <c r="F30" s="53" t="n"/>
      <c r="G30" s="53" t="n"/>
      <c r="H30" s="53" t="n"/>
      <c r="I30" s="53" t="n"/>
      <c r="J30" s="53" t="n"/>
    </row>
    <row r="31" ht="15.6" customHeight="1">
      <c r="A31" s="54" t="n">
        <v>45593</v>
      </c>
      <c r="B31" s="55" t="inlineStr">
        <is>
          <t>HIGOR</t>
        </is>
      </c>
      <c r="C31" s="194" t="n">
        <v>569</v>
      </c>
      <c r="D31" s="194" t="inlineStr">
        <is>
          <t>PG</t>
        </is>
      </c>
      <c r="E31" s="53" t="n"/>
      <c r="F31" s="53" t="n"/>
      <c r="G31" s="53" t="n"/>
      <c r="H31" s="53" t="n"/>
      <c r="I31" s="53" t="n"/>
      <c r="J31" s="53" t="n"/>
    </row>
    <row r="32" ht="15.6" customHeight="1">
      <c r="A32" s="54" t="n">
        <v>45594</v>
      </c>
      <c r="B32" s="55" t="inlineStr">
        <is>
          <t>ANTONIO</t>
        </is>
      </c>
      <c r="C32" s="194" t="n">
        <v>310</v>
      </c>
      <c r="D32" s="194" t="inlineStr">
        <is>
          <t>PG</t>
        </is>
      </c>
      <c r="E32" s="53" t="n"/>
      <c r="F32" s="53" t="n"/>
      <c r="G32" s="53" t="n"/>
      <c r="H32" s="53" t="n"/>
      <c r="I32" s="53" t="n"/>
      <c r="J32" s="53" t="n"/>
    </row>
    <row r="33" ht="15.6" customHeight="1">
      <c r="A33" s="54" t="n">
        <v>45595</v>
      </c>
      <c r="B33" s="55" t="inlineStr">
        <is>
          <t>AGOSTINHO</t>
        </is>
      </c>
      <c r="C33" s="194" t="n">
        <v>439</v>
      </c>
      <c r="D33" s="194" t="inlineStr">
        <is>
          <t>PG</t>
        </is>
      </c>
      <c r="E33" s="53" t="n"/>
      <c r="F33" s="53" t="n"/>
      <c r="G33" s="53" t="n"/>
      <c r="H33" s="53" t="n"/>
      <c r="I33" s="53" t="n"/>
      <c r="J33" s="53" t="n"/>
    </row>
    <row r="34" ht="15.6" customHeight="1">
      <c r="A34" s="54" t="n">
        <v>45596</v>
      </c>
      <c r="B34" s="55" t="inlineStr">
        <is>
          <t>JOAO PEDRO</t>
        </is>
      </c>
      <c r="C34" s="194" t="n">
        <v>292</v>
      </c>
      <c r="D34" s="194" t="inlineStr">
        <is>
          <t>PG</t>
        </is>
      </c>
      <c r="E34" s="53" t="n"/>
      <c r="F34" s="53" t="n"/>
      <c r="G34" s="53" t="n"/>
      <c r="H34" s="53" t="n"/>
      <c r="I34" s="53" t="n"/>
      <c r="J34" s="53" t="n"/>
    </row>
    <row r="35" ht="15.6" customHeight="1">
      <c r="A35" s="54" t="n">
        <v>45596</v>
      </c>
      <c r="B35" s="55" t="inlineStr">
        <is>
          <t>GABRIELA</t>
        </is>
      </c>
      <c r="C35" s="194" t="n">
        <v>139</v>
      </c>
      <c r="D35" s="194" t="inlineStr">
        <is>
          <t>PG</t>
        </is>
      </c>
      <c r="E35" s="53" t="n"/>
      <c r="F35" s="53" t="n"/>
      <c r="G35" s="53" t="n"/>
      <c r="H35" s="53" t="n"/>
      <c r="I35" s="53" t="n"/>
      <c r="J35" s="53" t="n"/>
    </row>
    <row r="36" ht="15.6" customHeight="1">
      <c r="A36" s="54" t="n"/>
      <c r="B36" s="55" t="n"/>
      <c r="C36" s="194" t="n"/>
      <c r="D36" s="194" t="n"/>
      <c r="E36" s="53" t="n"/>
      <c r="F36" s="53" t="n"/>
      <c r="G36" s="53" t="n"/>
      <c r="H36" s="53" t="n"/>
      <c r="I36" s="53" t="n"/>
      <c r="J36" s="53" t="n"/>
    </row>
    <row r="37" ht="15.6" customHeight="1">
      <c r="A37" s="54" t="n"/>
      <c r="B37" s="55" t="n"/>
      <c r="C37" s="194" t="n"/>
      <c r="D37" s="194" t="n"/>
      <c r="E37" s="53" t="n"/>
      <c r="F37" s="53" t="n"/>
      <c r="G37" s="53" t="n"/>
      <c r="H37" s="53" t="n"/>
      <c r="I37" s="53" t="n"/>
      <c r="J37" s="53" t="n"/>
    </row>
    <row r="38" ht="15.6" customHeight="1">
      <c r="A38" s="54" t="n"/>
      <c r="B38" s="55" t="n"/>
      <c r="C38" s="194" t="n"/>
      <c r="D38" s="194" t="n"/>
      <c r="E38" s="53" t="n"/>
      <c r="F38" s="53" t="n"/>
      <c r="G38" s="53" t="n"/>
      <c r="H38" s="53" t="n"/>
      <c r="I38" s="53" t="n"/>
      <c r="J38" s="53" t="n"/>
    </row>
    <row r="39" ht="15.6" customHeight="1">
      <c r="A39" s="54" t="n"/>
      <c r="B39" s="55" t="n"/>
      <c r="C39" s="194" t="n"/>
      <c r="D39" s="194" t="n"/>
    </row>
    <row r="40" ht="15.6" customHeight="1">
      <c r="A40" s="54" t="n"/>
      <c r="B40" s="55" t="n"/>
      <c r="C40" s="194" t="n"/>
      <c r="D40" s="194" t="n"/>
    </row>
    <row r="41" ht="15.6" customHeight="1">
      <c r="A41" s="54" t="n"/>
      <c r="B41" s="55" t="n"/>
      <c r="C41" s="194" t="n"/>
      <c r="D41" s="194" t="n"/>
    </row>
    <row r="42" ht="15.6" customHeight="1">
      <c r="A42" s="54" t="n"/>
      <c r="B42" s="55" t="n"/>
      <c r="C42" s="194" t="n"/>
      <c r="D42" s="194" t="n"/>
    </row>
    <row r="43" ht="15.6" customHeight="1">
      <c r="A43" s="54" t="n"/>
      <c r="B43" s="55" t="n"/>
      <c r="C43" s="194" t="n"/>
      <c r="D43" s="194" t="n"/>
    </row>
    <row r="44" ht="15.6" customHeight="1">
      <c r="A44" s="54" t="n"/>
      <c r="B44" s="55" t="n"/>
      <c r="C44" s="194" t="n"/>
      <c r="D44" s="194" t="n"/>
    </row>
    <row r="45" ht="15.6" customHeight="1">
      <c r="A45" s="54" t="n"/>
      <c r="B45" s="55" t="n"/>
      <c r="C45" s="194" t="n"/>
      <c r="D45" s="194" t="n"/>
    </row>
    <row r="46" ht="15.6" customHeight="1">
      <c r="A46" s="54" t="n"/>
      <c r="B46" s="55" t="n"/>
      <c r="C46" s="194" t="n"/>
      <c r="D46" s="194" t="n"/>
    </row>
    <row r="47" ht="15.6" customHeight="1">
      <c r="A47" s="54" t="n"/>
      <c r="B47" s="55" t="n"/>
      <c r="C47" s="194" t="n"/>
      <c r="D47" s="194" t="n"/>
    </row>
    <row r="48" ht="15.6" customHeight="1">
      <c r="A48" s="54" t="n"/>
      <c r="B48" s="55" t="n"/>
      <c r="C48" s="194" t="n"/>
      <c r="D48" s="194" t="n"/>
    </row>
    <row r="49" ht="15.6" customHeight="1">
      <c r="A49" s="54" t="n"/>
      <c r="B49" s="55" t="n"/>
      <c r="C49" s="194" t="n"/>
      <c r="D49" s="194" t="n"/>
    </row>
  </sheetData>
  <mergeCells count="2">
    <mergeCell ref="E2:E3"/>
    <mergeCell ref="G6:H6"/>
  </mergeCells>
  <conditionalFormatting sqref="D2:D1048576">
    <cfRule type="containsText" priority="1" operator="containsText" dxfId="1" text="AG">
      <formula>NOT(ISERROR(SEARCH("AG",D2)))</formula>
    </cfRule>
    <cfRule type="containsText" priority="2" operator="containsText" dxfId="0" text="PG">
      <formula>NOT(ISERROR(SEARCH("PG",D2)))</formula>
    </cfRule>
  </conditionalFormatting>
  <dataValidations count="1">
    <dataValidation sqref="D2:D1048576" showDropDown="0" showInputMessage="1" showErrorMessage="1" allowBlank="1" type="list">
      <formula1>"PG,AG"</formula1>
    </dataValidation>
  </dataValidations>
  <pageMargins left="0.511811024" right="0.511811024" top="0.787401575" bottom="0.787401575" header="0.31496062" footer="0.31496062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E27" sqref="E27"/>
    </sheetView>
  </sheetViews>
  <sheetFormatPr baseColWidth="8" defaultRowHeight="14.4"/>
  <cols>
    <col width="17.44140625" customWidth="1" min="1" max="1"/>
    <col width="34.5546875" customWidth="1" min="2" max="2"/>
    <col width="15.88671875" customWidth="1" min="3" max="3"/>
    <col width="17.44140625" customWidth="1" min="4" max="4"/>
    <col width="40.44140625" customWidth="1" min="5" max="5"/>
    <col width="32.88671875" customWidth="1" min="6" max="6"/>
    <col width="18.33203125" bestFit="1" customWidth="1" min="7" max="8"/>
    <col width="27.6640625" bestFit="1" customWidth="1" min="9" max="9"/>
  </cols>
  <sheetData>
    <row r="1" ht="30" customFormat="1" customHeight="1" s="91">
      <c r="A1" s="83" t="inlineStr">
        <is>
          <t>DATA</t>
        </is>
      </c>
      <c r="B1" s="83" t="inlineStr">
        <is>
          <t>NOME</t>
        </is>
      </c>
      <c r="C1" s="193" t="inlineStr">
        <is>
          <t xml:space="preserve"> VALOR</t>
        </is>
      </c>
      <c r="D1" s="83" t="inlineStr">
        <is>
          <t>STATUS</t>
        </is>
      </c>
      <c r="E1" s="85" t="inlineStr">
        <is>
          <t>FAT. TOTAL</t>
        </is>
      </c>
      <c r="F1" s="86" t="inlineStr">
        <is>
          <t>INVEST.TOTAL</t>
        </is>
      </c>
      <c r="G1" s="87" t="inlineStr">
        <is>
          <t>FACEBOOK</t>
        </is>
      </c>
      <c r="H1" s="88" t="inlineStr">
        <is>
          <t>GOOGLE</t>
        </is>
      </c>
      <c r="I1" s="89" t="inlineStr">
        <is>
          <t>CUSTO PRODUTOS</t>
        </is>
      </c>
      <c r="J1" s="90" t="n"/>
    </row>
    <row r="2" ht="22.8" customHeight="1">
      <c r="A2" s="54" t="n">
        <v>45597</v>
      </c>
      <c r="B2" s="55" t="inlineStr">
        <is>
          <t>DAVI</t>
        </is>
      </c>
      <c r="C2" s="194" t="n">
        <v>258</v>
      </c>
      <c r="D2" s="194" t="inlineStr">
        <is>
          <t>PG</t>
        </is>
      </c>
      <c r="E2" s="195">
        <f>SUM(C1:C193)</f>
        <v/>
      </c>
      <c r="F2" s="196">
        <f>SUM(G2+H2)</f>
        <v/>
      </c>
      <c r="G2" s="197" t="n">
        <v>1580</v>
      </c>
      <c r="H2" s="198" t="n">
        <v>502</v>
      </c>
      <c r="I2" s="199" t="n"/>
      <c r="J2" s="53" t="n"/>
    </row>
    <row r="3" ht="26.25" customHeight="1">
      <c r="A3" s="54" t="n">
        <v>45598</v>
      </c>
      <c r="B3" s="55" t="inlineStr">
        <is>
          <t>LEANDRO</t>
        </is>
      </c>
      <c r="C3" s="194" t="n">
        <v>444</v>
      </c>
      <c r="D3" s="194" t="inlineStr">
        <is>
          <t>PG</t>
        </is>
      </c>
      <c r="E3" s="200" t="n"/>
      <c r="F3" s="201" t="n"/>
      <c r="G3" s="201" t="n"/>
      <c r="H3" s="201" t="n"/>
      <c r="I3" s="53" t="n"/>
      <c r="J3" s="53" t="n"/>
    </row>
    <row r="4" ht="22.2" customHeight="1">
      <c r="A4" s="54" t="n">
        <v>45600</v>
      </c>
      <c r="B4" s="55" t="inlineStr">
        <is>
          <t>RICARDO</t>
        </is>
      </c>
      <c r="C4" s="194" t="n">
        <v>436</v>
      </c>
      <c r="D4" s="194" t="inlineStr">
        <is>
          <t>PG</t>
        </is>
      </c>
      <c r="E4" s="94" t="inlineStr">
        <is>
          <t>META</t>
        </is>
      </c>
      <c r="F4" s="95" t="inlineStr">
        <is>
          <t>3,5X ROI</t>
        </is>
      </c>
      <c r="G4" s="53" t="n"/>
      <c r="H4" s="53" t="n"/>
      <c r="I4" s="53" t="n"/>
      <c r="J4" s="53" t="n"/>
    </row>
    <row r="5" ht="15.6" customHeight="1">
      <c r="A5" s="54" t="n">
        <v>45600</v>
      </c>
      <c r="B5" s="55" t="inlineStr">
        <is>
          <t>RAPHAEL</t>
        </is>
      </c>
      <c r="C5" s="194" t="n">
        <v>158</v>
      </c>
      <c r="D5" s="194" t="inlineStr">
        <is>
          <t>PG</t>
        </is>
      </c>
      <c r="E5" s="53" t="n"/>
      <c r="F5" s="53" t="n"/>
      <c r="G5" s="53" t="n"/>
      <c r="H5" s="53" t="n"/>
      <c r="I5" s="53" t="n"/>
      <c r="J5" s="53" t="n"/>
    </row>
    <row r="6" ht="16.8" customHeight="1">
      <c r="A6" s="54" t="n">
        <v>45600</v>
      </c>
      <c r="B6" s="55" t="inlineStr">
        <is>
          <t>SAMUEL</t>
        </is>
      </c>
      <c r="C6" s="194" t="n">
        <v>139</v>
      </c>
      <c r="D6" s="194" t="inlineStr">
        <is>
          <t>PG</t>
        </is>
      </c>
      <c r="E6" s="112" t="inlineStr">
        <is>
          <t xml:space="preserve"> LIQUIDO</t>
        </is>
      </c>
      <c r="F6" s="113" t="inlineStr">
        <is>
          <t>ROI ATUAL</t>
        </is>
      </c>
      <c r="G6" s="139" t="inlineStr">
        <is>
          <t>retorno sobre investimento</t>
        </is>
      </c>
      <c r="H6" s="202" t="n"/>
      <c r="I6" s="53" t="n"/>
      <c r="J6" s="53" t="n"/>
    </row>
    <row r="7" ht="22.2" customHeight="1">
      <c r="A7" s="54" t="n">
        <v>45602</v>
      </c>
      <c r="B7" s="55" t="inlineStr">
        <is>
          <t>CRISLAYNE</t>
        </is>
      </c>
      <c r="C7" s="194" t="n">
        <v>1728</v>
      </c>
      <c r="D7" s="194" t="inlineStr">
        <is>
          <t>PG</t>
        </is>
      </c>
      <c r="E7" s="203">
        <f>SUM(C2:C6,C7:C8,C9:C10,C11:C13,C14:C24,C25:C26,C27:C33,C34:C39,C41,C43:C48)</f>
        <v/>
      </c>
      <c r="F7" s="59">
        <f>E2/F2</f>
        <v/>
      </c>
      <c r="G7" s="53" t="n"/>
      <c r="H7" s="53" t="n"/>
      <c r="I7" s="53" t="n"/>
      <c r="J7" s="53" t="n"/>
    </row>
    <row r="8" ht="22.2" customHeight="1">
      <c r="A8" s="54" t="n">
        <v>45602</v>
      </c>
      <c r="B8" s="55" t="inlineStr">
        <is>
          <t>LIDIANE</t>
        </is>
      </c>
      <c r="C8" s="194" t="n">
        <v>143</v>
      </c>
      <c r="D8" s="194" t="inlineStr">
        <is>
          <t>PG</t>
        </is>
      </c>
      <c r="E8" s="59">
        <f>E7/F2</f>
        <v/>
      </c>
      <c r="F8" s="53" t="n"/>
      <c r="G8" s="53" t="n"/>
      <c r="H8" s="53" t="n"/>
      <c r="I8" s="53" t="n"/>
      <c r="J8" s="53" t="n"/>
    </row>
    <row r="9" ht="15.6" customHeight="1">
      <c r="A9" s="54" t="n">
        <v>45602</v>
      </c>
      <c r="B9" s="55" t="inlineStr">
        <is>
          <t>JORGE LUIZ</t>
        </is>
      </c>
      <c r="C9" s="194" t="n">
        <v>82</v>
      </c>
      <c r="D9" s="194" t="inlineStr">
        <is>
          <t>PG</t>
        </is>
      </c>
      <c r="E9" s="53" t="n"/>
      <c r="F9" s="204" t="n"/>
      <c r="G9" s="53" t="n"/>
      <c r="H9" s="53" t="n"/>
      <c r="I9" s="53" t="n"/>
      <c r="J9" s="53" t="n"/>
    </row>
    <row r="10" ht="15.6" customHeight="1">
      <c r="A10" s="54" t="n">
        <v>45603</v>
      </c>
      <c r="B10" s="55" t="inlineStr">
        <is>
          <t>CARLOS</t>
        </is>
      </c>
      <c r="C10" s="194" t="n">
        <v>673</v>
      </c>
      <c r="D10" s="194" t="inlineStr">
        <is>
          <t>PG</t>
        </is>
      </c>
      <c r="E10" s="98" t="inlineStr">
        <is>
          <t>alcance</t>
        </is>
      </c>
      <c r="F10" s="98" t="inlineStr">
        <is>
          <t>RMK</t>
        </is>
      </c>
      <c r="G10" s="53" t="n"/>
      <c r="H10" s="53" t="n"/>
      <c r="I10" s="53" t="n"/>
      <c r="J10" s="53" t="n"/>
    </row>
    <row r="11" ht="15.6" customHeight="1">
      <c r="A11" s="54" t="n">
        <v>45604</v>
      </c>
      <c r="B11" s="55" t="inlineStr">
        <is>
          <t>HUGO MONTEIRO</t>
        </is>
      </c>
      <c r="C11" s="194" t="n">
        <v>163</v>
      </c>
      <c r="D11" s="194" t="inlineStr">
        <is>
          <t>PG</t>
        </is>
      </c>
      <c r="E11" s="98" t="inlineStr">
        <is>
          <t>regiao</t>
        </is>
      </c>
      <c r="F11" s="98" t="inlineStr">
        <is>
          <t>PAGE VIEW ACESSORIOS 15D</t>
        </is>
      </c>
      <c r="G11" s="53" t="n"/>
      <c r="H11" s="53" t="n"/>
      <c r="I11" s="53" t="n"/>
      <c r="J11" s="53" t="n"/>
    </row>
    <row r="12" ht="15.6" customHeight="1">
      <c r="A12" s="54" t="n">
        <v>45604</v>
      </c>
      <c r="B12" s="55" t="inlineStr">
        <is>
          <t>TIAGO</t>
        </is>
      </c>
      <c r="C12" s="194" t="n">
        <v>163</v>
      </c>
      <c r="D12" s="194" t="inlineStr">
        <is>
          <t>PG</t>
        </is>
      </c>
      <c r="E12" s="98" t="inlineStr">
        <is>
          <t>produto campeao</t>
        </is>
      </c>
      <c r="F12" s="110" t="inlineStr">
        <is>
          <t>ADC AO CARRINHO 7D</t>
        </is>
      </c>
      <c r="G12" s="53" t="n"/>
      <c r="H12" s="53" t="n"/>
      <c r="I12" s="53" t="n"/>
      <c r="J12" s="53" t="n"/>
    </row>
    <row r="13" ht="15.6" customHeight="1">
      <c r="A13" s="54" t="n">
        <v>45605</v>
      </c>
      <c r="B13" s="55" t="inlineStr">
        <is>
          <t>GIRLANIA</t>
        </is>
      </c>
      <c r="C13" s="194" t="n">
        <v>525</v>
      </c>
      <c r="D13" s="194" t="inlineStr">
        <is>
          <t>PG</t>
        </is>
      </c>
      <c r="E13" s="98" t="n"/>
      <c r="F13" s="110" t="inlineStr">
        <is>
          <t>FINALIZA 7D</t>
        </is>
      </c>
      <c r="G13" s="53" t="n"/>
      <c r="H13" s="53" t="n"/>
      <c r="I13" s="53" t="n"/>
      <c r="J13" s="53" t="n"/>
    </row>
    <row r="14" ht="15.6" customHeight="1">
      <c r="A14" s="54" t="n">
        <v>45606</v>
      </c>
      <c r="B14" s="55" t="inlineStr">
        <is>
          <t>BRUNO DEZAJACOMO</t>
        </is>
      </c>
      <c r="C14" s="194" t="n">
        <v>291</v>
      </c>
      <c r="D14" s="194" t="inlineStr">
        <is>
          <t>PG</t>
        </is>
      </c>
      <c r="E14" s="53" t="n"/>
      <c r="F14" s="111" t="inlineStr">
        <is>
          <t>ENVOLV INSTA 30D</t>
        </is>
      </c>
      <c r="G14" s="53" t="n"/>
      <c r="H14" s="53" t="n"/>
      <c r="I14" s="53" t="n"/>
      <c r="J14" s="53" t="n"/>
    </row>
    <row r="15" ht="15.6" customHeight="1">
      <c r="A15" s="54" t="n">
        <v>45606</v>
      </c>
      <c r="B15" s="55" t="inlineStr">
        <is>
          <t>LEANDRO</t>
        </is>
      </c>
      <c r="C15" s="194" t="n">
        <v>1680</v>
      </c>
      <c r="D15" s="194" t="inlineStr">
        <is>
          <t>PG</t>
        </is>
      </c>
      <c r="E15" s="53" t="n"/>
      <c r="F15" s="111" t="inlineStr">
        <is>
          <t>ENVOLV FACE 30D</t>
        </is>
      </c>
      <c r="G15" s="53" t="n"/>
      <c r="H15" s="53" t="n"/>
      <c r="I15" s="53" t="n"/>
      <c r="J15" s="53" t="n"/>
    </row>
    <row r="16" ht="15.6" customHeight="1">
      <c r="A16" s="54" t="n">
        <v>45607</v>
      </c>
      <c r="B16" s="55" t="inlineStr">
        <is>
          <t>MURILO</t>
        </is>
      </c>
      <c r="C16" s="194" t="n">
        <v>760</v>
      </c>
      <c r="D16" s="194" t="inlineStr">
        <is>
          <t>PG</t>
        </is>
      </c>
      <c r="E16" s="53" t="n"/>
      <c r="F16" s="53" t="n"/>
      <c r="G16" s="53" t="n"/>
      <c r="H16" s="53" t="n"/>
      <c r="I16" s="53" t="n"/>
      <c r="J16" s="53" t="n"/>
    </row>
    <row r="17" ht="15.6" customHeight="1">
      <c r="A17" s="54" t="n">
        <v>45607</v>
      </c>
      <c r="B17" s="55" t="inlineStr">
        <is>
          <t>RODRIGO</t>
        </is>
      </c>
      <c r="C17" s="194" t="n">
        <v>291</v>
      </c>
      <c r="D17" s="194" t="inlineStr">
        <is>
          <t>PG</t>
        </is>
      </c>
      <c r="E17" s="53" t="n"/>
      <c r="F17" s="53" t="n"/>
      <c r="G17" s="53" t="n"/>
      <c r="H17" s="53" t="n"/>
      <c r="I17" s="53" t="n"/>
      <c r="J17" s="53" t="n"/>
    </row>
    <row r="18" ht="15.6" customHeight="1">
      <c r="A18" s="54" t="n">
        <v>45608</v>
      </c>
      <c r="B18" s="55" t="inlineStr">
        <is>
          <t>PEDRO</t>
        </is>
      </c>
      <c r="C18" s="194" t="n">
        <v>155</v>
      </c>
      <c r="D18" s="194" t="inlineStr">
        <is>
          <t>PG</t>
        </is>
      </c>
      <c r="E18" s="98" t="n">
        <v>3244</v>
      </c>
      <c r="F18" s="53" t="n"/>
      <c r="G18" s="53" t="n"/>
      <c r="H18" s="53" t="n"/>
      <c r="I18" s="53" t="n"/>
      <c r="J18" s="53" t="n"/>
    </row>
    <row r="19" ht="15.6" customHeight="1">
      <c r="A19" s="54" t="n">
        <v>45608</v>
      </c>
      <c r="B19" s="55" t="inlineStr">
        <is>
          <t>LUIS</t>
        </is>
      </c>
      <c r="C19" s="194" t="n">
        <v>155</v>
      </c>
      <c r="D19" s="194" t="inlineStr">
        <is>
          <t>PG</t>
        </is>
      </c>
      <c r="E19" s="98" t="n">
        <v>13273</v>
      </c>
      <c r="F19" s="53" t="n"/>
      <c r="G19" s="53" t="n"/>
      <c r="H19" s="53" t="n"/>
      <c r="I19" s="53" t="n"/>
      <c r="J19" s="53" t="n"/>
    </row>
    <row r="20" ht="15.6" customHeight="1">
      <c r="A20" s="54" t="n">
        <v>45609</v>
      </c>
      <c r="B20" s="55" t="inlineStr">
        <is>
          <t>JUNIOR RIGOLIN</t>
        </is>
      </c>
      <c r="C20" s="194" t="n">
        <v>1386</v>
      </c>
      <c r="D20" s="194" t="inlineStr">
        <is>
          <t>PG</t>
        </is>
      </c>
      <c r="E20" s="53" t="inlineStr">
        <is>
          <t xml:space="preserve"> </t>
        </is>
      </c>
      <c r="F20" s="53" t="n"/>
      <c r="G20" s="53" t="n"/>
      <c r="H20" s="53" t="n"/>
      <c r="I20" s="53" t="n"/>
      <c r="J20" s="53" t="n"/>
    </row>
    <row r="21" ht="15.6" customHeight="1">
      <c r="A21" s="54" t="n">
        <v>45609</v>
      </c>
      <c r="B21" s="55" t="inlineStr">
        <is>
          <t>TIAGO PIRES</t>
        </is>
      </c>
      <c r="C21" s="194" t="n">
        <v>337</v>
      </c>
      <c r="D21" s="194" t="inlineStr">
        <is>
          <t>PG</t>
        </is>
      </c>
      <c r="E21" s="53" t="n"/>
      <c r="F21" s="98" t="inlineStr">
        <is>
          <t>HUMANIZAR A MARCA</t>
        </is>
      </c>
      <c r="G21" s="53" t="n"/>
      <c r="H21" s="53" t="n"/>
      <c r="I21" s="53" t="n"/>
      <c r="J21" s="53" t="n"/>
    </row>
    <row r="22" ht="15.6" customHeight="1">
      <c r="A22" s="54" t="n">
        <v>45610</v>
      </c>
      <c r="B22" s="55" t="inlineStr">
        <is>
          <t>BALBINORRUDA</t>
        </is>
      </c>
      <c r="C22" s="194" t="n">
        <v>323</v>
      </c>
      <c r="D22" s="194" t="inlineStr">
        <is>
          <t>PG</t>
        </is>
      </c>
      <c r="E22" s="53" t="n"/>
      <c r="F22" s="98" t="inlineStr">
        <is>
          <t>INTERACAO NOS STORYS</t>
        </is>
      </c>
      <c r="G22" s="53" t="n"/>
      <c r="H22" s="53" t="n"/>
      <c r="I22" s="53" t="n"/>
      <c r="J22" s="53" t="n"/>
    </row>
    <row r="23" ht="15.6" customHeight="1">
      <c r="A23" s="54" t="n">
        <v>45611</v>
      </c>
      <c r="B23" s="55" t="inlineStr">
        <is>
          <t>ANDRESSA</t>
        </is>
      </c>
      <c r="C23" s="194" t="n">
        <v>1699</v>
      </c>
      <c r="D23" s="194" t="inlineStr">
        <is>
          <t>PG</t>
        </is>
      </c>
      <c r="E23" s="98" t="n">
        <v>2300</v>
      </c>
      <c r="F23" s="53" t="inlineStr">
        <is>
          <t>FACE</t>
        </is>
      </c>
      <c r="G23" s="53" t="n"/>
      <c r="H23" s="53" t="n"/>
      <c r="I23" s="53" t="n"/>
      <c r="J23" s="53" t="n"/>
    </row>
    <row r="24" ht="15.6" customHeight="1">
      <c r="A24" s="54" t="n">
        <v>45612</v>
      </c>
      <c r="B24" s="55" t="inlineStr">
        <is>
          <t>PEDRO</t>
        </is>
      </c>
      <c r="C24" s="194" t="n">
        <v>163</v>
      </c>
      <c r="D24" s="194" t="inlineStr">
        <is>
          <t>PG</t>
        </is>
      </c>
      <c r="E24" s="98" t="n">
        <v>648</v>
      </c>
      <c r="F24" s="53" t="inlineStr">
        <is>
          <t>GOOGLE</t>
        </is>
      </c>
      <c r="G24" s="53" t="n"/>
      <c r="H24" s="53" t="n"/>
      <c r="I24" s="53" t="n"/>
      <c r="J24" s="53" t="n"/>
    </row>
    <row r="25" ht="15.6" customHeight="1">
      <c r="A25" s="54" t="n">
        <v>45613</v>
      </c>
      <c r="B25" s="55" t="inlineStr">
        <is>
          <t>MARCIO</t>
        </is>
      </c>
      <c r="C25" s="194" t="n">
        <v>155</v>
      </c>
      <c r="D25" s="194" t="inlineStr">
        <is>
          <t>PG</t>
        </is>
      </c>
      <c r="E25" s="53" t="n"/>
      <c r="F25" s="53" t="n"/>
      <c r="G25" s="53" t="n"/>
      <c r="H25" s="53" t="n"/>
      <c r="I25" s="53" t="n"/>
      <c r="J25" s="53" t="n"/>
    </row>
    <row r="26" ht="15.6" customHeight="1">
      <c r="A26" s="54" t="n">
        <v>45613</v>
      </c>
      <c r="B26" s="55" t="inlineStr">
        <is>
          <t>LUCA</t>
        </is>
      </c>
      <c r="C26" s="194" t="n">
        <v>152</v>
      </c>
      <c r="D26" s="194" t="inlineStr">
        <is>
          <t>PG</t>
        </is>
      </c>
      <c r="E26" s="53" t="n"/>
      <c r="F26" s="53" t="n"/>
      <c r="G26" s="53" t="n"/>
      <c r="H26" s="53" t="n"/>
      <c r="I26" s="53" t="n"/>
      <c r="J26" s="53" t="n"/>
    </row>
    <row r="27" ht="15.6" customHeight="1">
      <c r="A27" s="54" t="n">
        <v>45613</v>
      </c>
      <c r="B27" s="55" t="inlineStr">
        <is>
          <t>ARTUR</t>
        </is>
      </c>
      <c r="C27" s="194" t="n">
        <v>155</v>
      </c>
      <c r="D27" s="194" t="inlineStr">
        <is>
          <t>PG</t>
        </is>
      </c>
      <c r="E27" s="53" t="n"/>
      <c r="F27" s="53" t="n"/>
      <c r="G27" s="53" t="n"/>
      <c r="H27" s="53" t="n"/>
      <c r="I27" s="53" t="n"/>
      <c r="J27" s="53" t="n"/>
    </row>
    <row r="28" ht="15.6" customHeight="1">
      <c r="A28" s="54" t="n">
        <v>45614</v>
      </c>
      <c r="B28" s="55" t="inlineStr">
        <is>
          <t>ROBERTO</t>
        </is>
      </c>
      <c r="C28" s="194" t="n">
        <v>155</v>
      </c>
      <c r="D28" s="194" t="inlineStr">
        <is>
          <t>PG</t>
        </is>
      </c>
      <c r="E28" s="53" t="n"/>
      <c r="F28" s="53" t="n"/>
      <c r="G28" s="53" t="n"/>
      <c r="H28" s="53" t="n"/>
      <c r="I28" s="53" t="n"/>
      <c r="J28" s="53" t="n"/>
    </row>
    <row r="29" ht="15.6" customHeight="1">
      <c r="A29" s="54" t="n">
        <v>45615</v>
      </c>
      <c r="B29" s="55" t="inlineStr">
        <is>
          <t>IGOR</t>
        </is>
      </c>
      <c r="C29" s="194" t="n">
        <v>292</v>
      </c>
      <c r="D29" s="194" t="inlineStr">
        <is>
          <t>PG</t>
        </is>
      </c>
      <c r="E29" s="53" t="n"/>
      <c r="F29" s="53" t="n"/>
      <c r="G29" s="53" t="n"/>
      <c r="H29" s="53" t="n"/>
      <c r="I29" s="53" t="n"/>
      <c r="J29" s="53" t="n"/>
    </row>
    <row r="30" ht="15.6" customHeight="1">
      <c r="A30" s="54" t="n">
        <v>19</v>
      </c>
      <c r="B30" s="55" t="inlineStr">
        <is>
          <t>ELIVELTON</t>
        </is>
      </c>
      <c r="C30" s="194" t="n">
        <v>212</v>
      </c>
      <c r="D30" s="194" t="inlineStr">
        <is>
          <t>PG</t>
        </is>
      </c>
      <c r="E30" s="53" t="n"/>
      <c r="F30" s="53" t="n"/>
      <c r="G30" s="53" t="n"/>
      <c r="H30" s="53" t="n"/>
      <c r="I30" s="53" t="n"/>
      <c r="J30" s="53" t="n"/>
    </row>
    <row r="31" ht="15.6" customHeight="1">
      <c r="A31" s="54" t="n">
        <v>45623</v>
      </c>
      <c r="B31" s="55" t="inlineStr">
        <is>
          <t>NICOLE</t>
        </is>
      </c>
      <c r="C31" s="194" t="n">
        <v>265</v>
      </c>
      <c r="D31" s="194" t="inlineStr">
        <is>
          <t>AG</t>
        </is>
      </c>
      <c r="E31" s="53" t="n"/>
      <c r="F31" s="53" t="n"/>
      <c r="G31" s="53" t="n"/>
      <c r="H31" s="53" t="n"/>
      <c r="I31" s="53" t="n"/>
      <c r="J31" s="53" t="n"/>
    </row>
    <row r="32" ht="15.6" customHeight="1">
      <c r="A32" s="54" t="n">
        <v>45623</v>
      </c>
      <c r="B32" s="55" t="inlineStr">
        <is>
          <t>ANDRESSA</t>
        </is>
      </c>
      <c r="C32" s="194" t="n">
        <v>288</v>
      </c>
      <c r="D32" s="194" t="inlineStr">
        <is>
          <t>PG</t>
        </is>
      </c>
      <c r="E32" s="53" t="n"/>
      <c r="F32" s="53" t="n"/>
      <c r="G32" s="53" t="n"/>
      <c r="H32" s="53" t="n"/>
      <c r="I32" s="53" t="n"/>
      <c r="J32" s="53" t="n"/>
    </row>
    <row r="33" ht="15.6" customHeight="1">
      <c r="A33" s="54" t="n">
        <v>45623</v>
      </c>
      <c r="B33" s="55" t="inlineStr">
        <is>
          <t>LEANDRO</t>
        </is>
      </c>
      <c r="C33" s="194" t="n">
        <v>292</v>
      </c>
      <c r="D33" s="194" t="inlineStr">
        <is>
          <t>PG</t>
        </is>
      </c>
      <c r="E33" s="53" t="n"/>
      <c r="F33" s="53" t="n"/>
      <c r="G33" s="53" t="n"/>
      <c r="H33" s="53" t="n"/>
      <c r="I33" s="53" t="n"/>
      <c r="J33" s="53" t="n"/>
    </row>
    <row r="34" ht="15.6" customHeight="1">
      <c r="A34" s="54" t="n">
        <v>45625</v>
      </c>
      <c r="B34" s="55" t="inlineStr">
        <is>
          <t>ANDERSON</t>
        </is>
      </c>
      <c r="C34" s="194" t="n">
        <v>297</v>
      </c>
      <c r="D34" s="194" t="n"/>
      <c r="E34" s="53" t="n"/>
      <c r="F34" s="53" t="n"/>
      <c r="G34" s="53" t="n"/>
      <c r="H34" s="53" t="n"/>
      <c r="I34" s="53" t="n"/>
      <c r="J34" s="53" t="n"/>
    </row>
    <row r="35" ht="15.6" customHeight="1">
      <c r="A35" s="54" t="n">
        <v>45626</v>
      </c>
      <c r="B35" s="55" t="inlineStr">
        <is>
          <t>FERNANDO</t>
        </is>
      </c>
      <c r="C35" s="194" t="n">
        <v>152</v>
      </c>
      <c r="D35" s="194" t="n"/>
      <c r="E35" s="53" t="n"/>
      <c r="F35" s="53" t="n"/>
      <c r="G35" s="53" t="n"/>
      <c r="H35" s="53" t="n"/>
      <c r="I35" s="53" t="n"/>
      <c r="J35" s="53" t="n"/>
    </row>
    <row r="36" ht="15.6" customHeight="1">
      <c r="A36" s="54" t="n"/>
      <c r="B36" s="55" t="n"/>
      <c r="C36" s="194" t="n"/>
      <c r="D36" s="194" t="n"/>
      <c r="E36" s="53" t="n"/>
      <c r="F36" s="53" t="n"/>
      <c r="G36" s="53" t="n"/>
      <c r="H36" s="53" t="n"/>
      <c r="I36" s="53" t="n"/>
      <c r="J36" s="53" t="n"/>
    </row>
    <row r="37" ht="15.6" customHeight="1">
      <c r="A37" s="54" t="n"/>
      <c r="B37" s="55" t="n"/>
      <c r="C37" s="194" t="n"/>
      <c r="D37" s="194" t="n"/>
      <c r="E37" s="53" t="n"/>
      <c r="F37" s="53" t="n"/>
      <c r="G37" s="53" t="n"/>
      <c r="H37" s="53" t="n"/>
      <c r="I37" s="53" t="n"/>
      <c r="J37" s="53" t="n"/>
    </row>
    <row r="38" ht="15.6" customHeight="1">
      <c r="A38" s="54" t="n"/>
      <c r="B38" s="55" t="n"/>
      <c r="C38" s="194" t="n"/>
      <c r="D38" s="194" t="n"/>
      <c r="E38" s="53" t="n"/>
      <c r="F38" s="53" t="n"/>
      <c r="G38" s="53" t="n"/>
      <c r="H38" s="53" t="n"/>
      <c r="I38" s="53" t="n"/>
      <c r="J38" s="53" t="n"/>
    </row>
    <row r="39" ht="15.6" customHeight="1">
      <c r="A39" s="54" t="n"/>
      <c r="B39" s="55" t="n"/>
      <c r="C39" s="194" t="n"/>
      <c r="D39" s="194" t="n"/>
    </row>
    <row r="40" ht="15.6" customHeight="1">
      <c r="A40" s="54" t="n"/>
      <c r="B40" s="55" t="n"/>
      <c r="C40" s="194" t="n"/>
      <c r="D40" s="194" t="n"/>
    </row>
    <row r="41" ht="15.6" customHeight="1">
      <c r="A41" s="54" t="n"/>
      <c r="B41" s="55" t="n"/>
      <c r="C41" s="194" t="n"/>
      <c r="D41" s="194" t="n"/>
    </row>
    <row r="42" ht="15.6" customHeight="1">
      <c r="A42" s="54" t="n"/>
      <c r="B42" s="55" t="n"/>
      <c r="C42" s="194" t="n"/>
      <c r="D42" s="194" t="n"/>
    </row>
    <row r="43" ht="15.6" customHeight="1">
      <c r="A43" s="54" t="n"/>
      <c r="B43" s="55" t="n"/>
      <c r="C43" s="194" t="n"/>
      <c r="D43" s="194" t="n"/>
    </row>
    <row r="44" ht="15.6" customHeight="1">
      <c r="A44" s="54" t="n"/>
      <c r="B44" s="55" t="n"/>
      <c r="C44" s="194" t="n"/>
      <c r="D44" s="194" t="n"/>
    </row>
    <row r="45" ht="15.6" customHeight="1">
      <c r="A45" s="54" t="n"/>
      <c r="B45" s="55" t="n"/>
      <c r="C45" s="194" t="n"/>
      <c r="D45" s="194" t="n"/>
    </row>
    <row r="46" ht="15.6" customHeight="1">
      <c r="A46" s="54" t="n"/>
      <c r="B46" s="55" t="n"/>
      <c r="C46" s="194" t="n"/>
      <c r="D46" s="194" t="n"/>
    </row>
    <row r="47" ht="15.6" customHeight="1">
      <c r="A47" s="54" t="n"/>
      <c r="B47" s="55" t="n"/>
      <c r="C47" s="194" t="n"/>
      <c r="D47" s="194" t="n"/>
    </row>
    <row r="48" ht="15.6" customHeight="1">
      <c r="A48" s="54" t="n"/>
      <c r="B48" s="55" t="n"/>
      <c r="C48" s="194" t="n"/>
      <c r="D48" s="194" t="n"/>
    </row>
    <row r="49" ht="15.6" customHeight="1">
      <c r="A49" s="54" t="n"/>
      <c r="B49" s="55" t="n"/>
      <c r="C49" s="194" t="n"/>
      <c r="D49" s="194" t="n"/>
    </row>
  </sheetData>
  <mergeCells count="2">
    <mergeCell ref="E2:E3"/>
    <mergeCell ref="G6:H6"/>
  </mergeCells>
  <conditionalFormatting sqref="D2:D1048576">
    <cfRule type="containsText" priority="1" operator="containsText" dxfId="1" text="AG">
      <formula>NOT(ISERROR(SEARCH("AG",D2)))</formula>
    </cfRule>
    <cfRule type="containsText" priority="2" operator="containsText" dxfId="0" text="PG">
      <formula>NOT(ISERROR(SEARCH("PG",D2)))</formula>
    </cfRule>
  </conditionalFormatting>
  <dataValidations count="1">
    <dataValidation sqref="D2:D1048576" showDropDown="0" showInputMessage="1" showErrorMessage="1" allowBlank="1" type="list">
      <formula1>"PG,AG"</formula1>
    </dataValidation>
  </dataValidations>
  <pageMargins left="0.511811024" right="0.511811024" top="0.787401575" bottom="0.787401575" header="0.31496062" footer="0.31496062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1"/>
  <sheetViews>
    <sheetView topLeftCell="A9" zoomScale="90" zoomScaleNormal="90" workbookViewId="0">
      <selection activeCell="G28" sqref="G28"/>
    </sheetView>
  </sheetViews>
  <sheetFormatPr baseColWidth="8" defaultRowHeight="18"/>
  <cols>
    <col width="21.109375" bestFit="1" customWidth="1" min="1" max="1"/>
    <col width="18.109375" bestFit="1" customWidth="1" min="2" max="2"/>
    <col width="22.33203125" customWidth="1" min="3" max="3"/>
    <col width="16.5546875" bestFit="1" customWidth="1" min="4" max="4"/>
    <col width="10.6640625" customWidth="1" style="14" min="5" max="5"/>
    <col width="10.6640625" customWidth="1" min="6" max="6"/>
    <col width="20.33203125" bestFit="1" customWidth="1" min="7" max="7"/>
    <col width="9.88671875" bestFit="1" customWidth="1" min="8" max="8"/>
    <col width="15.44140625" bestFit="1" customWidth="1" min="9" max="9"/>
    <col width="9.5546875" bestFit="1" customWidth="1" min="25" max="25"/>
    <col width="31.33203125" bestFit="1" customWidth="1" min="26" max="26"/>
    <col width="29.33203125" bestFit="1" customWidth="1" min="27" max="28"/>
    <col width="44.109375" bestFit="1" customWidth="1" min="29" max="29"/>
    <col width="27.109375" bestFit="1" customWidth="1" min="30" max="30"/>
    <col width="32.109375" bestFit="1" customWidth="1" min="31" max="31"/>
    <col width="25.33203125" bestFit="1" customWidth="1" min="33" max="33"/>
    <col width="32.109375" bestFit="1" customWidth="1" min="34" max="34"/>
    <col width="31.44140625" bestFit="1" customWidth="1" min="35" max="35"/>
    <col width="13.33203125" bestFit="1" customWidth="1" min="36" max="36"/>
    <col width="19.5546875" bestFit="1" customWidth="1" min="37" max="37"/>
    <col width="21.6640625" bestFit="1" customWidth="1" style="1" min="38" max="39"/>
  </cols>
  <sheetData>
    <row r="1" ht="18.75" customHeight="1">
      <c r="Z1" s="151" t="inlineStr">
        <is>
          <t>6 meses</t>
        </is>
      </c>
      <c r="AA1" s="147" t="inlineStr">
        <is>
          <t>FATURADO</t>
        </is>
      </c>
      <c r="AB1" s="150" t="inlineStr">
        <is>
          <t>LIQUIDO</t>
        </is>
      </c>
      <c r="AC1" s="146" t="inlineStr">
        <is>
          <t>RETORNO SOBRE INVESTIMENTO</t>
        </is>
      </c>
      <c r="AD1" s="147" t="inlineStr">
        <is>
          <t>INVESTIMENTO</t>
        </is>
      </c>
      <c r="AE1" s="146" t="inlineStr">
        <is>
          <t>ROI LIQUIDO</t>
        </is>
      </c>
      <c r="AG1" s="207" t="n">
        <v>18500</v>
      </c>
      <c r="AH1" s="79" t="inlineStr">
        <is>
          <t>GERENCIAMENTO</t>
        </is>
      </c>
    </row>
    <row r="2" ht="25.8" customHeight="1">
      <c r="A2" s="1" t="n"/>
      <c r="B2" s="96" t="inlineStr">
        <is>
          <t>INICIO</t>
        </is>
      </c>
      <c r="C2" s="148" t="n">
        <v>44012</v>
      </c>
      <c r="D2" s="208" t="n"/>
      <c r="E2" s="202" t="n"/>
      <c r="Z2" s="200" t="n"/>
      <c r="AA2" s="200" t="n"/>
      <c r="AB2" s="200" t="n"/>
      <c r="AC2" s="200" t="n"/>
      <c r="AD2" s="200" t="n"/>
      <c r="AE2" s="200" t="n"/>
      <c r="AG2" s="209" t="n">
        <v>3400</v>
      </c>
      <c r="AH2" s="79" t="inlineStr">
        <is>
          <t>PLATAFORMA E TARIFAS</t>
        </is>
      </c>
    </row>
    <row r="3" ht="36.75" customHeight="1">
      <c r="B3" s="140" t="inlineStr">
        <is>
          <t>FATURADO</t>
        </is>
      </c>
      <c r="C3" s="141" t="inlineStr">
        <is>
          <t>LIQUIDO</t>
        </is>
      </c>
      <c r="D3" s="210" t="inlineStr">
        <is>
          <t>INVEST</t>
        </is>
      </c>
      <c r="E3" s="164" t="inlineStr">
        <is>
          <t>ROI</t>
        </is>
      </c>
      <c r="Z3" s="46" t="inlineStr">
        <is>
          <t>TOTAL VENDAS 2020</t>
        </is>
      </c>
      <c r="AA3" s="211" t="n">
        <v>65136</v>
      </c>
      <c r="AB3" s="212" t="n">
        <v>49294</v>
      </c>
      <c r="AC3" s="76">
        <f>AA3/AD3</f>
        <v/>
      </c>
      <c r="AD3" s="211" t="n">
        <v>37911</v>
      </c>
      <c r="AE3" s="92">
        <f>AB3/AD3</f>
        <v/>
      </c>
      <c r="AG3" s="209" t="n">
        <v>10000</v>
      </c>
      <c r="AH3" s="79" t="inlineStr">
        <is>
          <t>FRETE</t>
        </is>
      </c>
    </row>
    <row r="4" ht="24.75" customHeight="1">
      <c r="B4" s="200" t="n"/>
      <c r="C4" s="200" t="n"/>
      <c r="D4" s="200" t="n"/>
      <c r="E4" s="200" t="n"/>
    </row>
    <row r="5" ht="35.25" customHeight="1">
      <c r="A5" s="29" t="inlineStr">
        <is>
          <t>MAR</t>
        </is>
      </c>
      <c r="B5" s="213" t="n">
        <v>1603</v>
      </c>
      <c r="C5" s="214" t="n">
        <v>848</v>
      </c>
      <c r="D5" s="63" t="n"/>
      <c r="E5" s="44" t="n"/>
      <c r="Z5" s="46" t="inlineStr">
        <is>
          <t>TOTAL VENDAS 2021</t>
        </is>
      </c>
      <c r="AA5" s="211" t="n">
        <v>132667</v>
      </c>
      <c r="AB5" s="212" t="n">
        <v>101708</v>
      </c>
      <c r="AC5" s="76">
        <f>AA5/AD5</f>
        <v/>
      </c>
      <c r="AD5" s="211" t="n">
        <v>32727</v>
      </c>
      <c r="AE5" s="92">
        <f>AB5/AD5</f>
        <v/>
      </c>
    </row>
    <row r="6" ht="24" customHeight="1">
      <c r="A6" s="29" t="inlineStr">
        <is>
          <t>ABR</t>
        </is>
      </c>
      <c r="B6" s="215" t="n">
        <v>313</v>
      </c>
      <c r="C6" s="214" t="n">
        <v>313</v>
      </c>
      <c r="D6" s="63" t="n"/>
      <c r="E6" s="44" t="n"/>
      <c r="AG6" s="99" t="inlineStr">
        <is>
          <t>kayque</t>
        </is>
      </c>
      <c r="AH6" s="99" t="inlineStr">
        <is>
          <t>anuncio</t>
        </is>
      </c>
      <c r="AI6" s="99" t="inlineStr">
        <is>
          <t>site</t>
        </is>
      </c>
      <c r="AJ6" s="99" t="inlineStr">
        <is>
          <t>frete</t>
        </is>
      </c>
      <c r="AK6" s="99" t="inlineStr">
        <is>
          <t>invest total</t>
        </is>
      </c>
      <c r="AL6" s="100" t="inlineStr">
        <is>
          <t xml:space="preserve"> liquido</t>
        </is>
      </c>
      <c r="AM6" s="101" t="inlineStr">
        <is>
          <t xml:space="preserve">lucro </t>
        </is>
      </c>
    </row>
    <row r="7" ht="28.8" customHeight="1">
      <c r="A7" s="29" t="inlineStr">
        <is>
          <t>MAI</t>
        </is>
      </c>
      <c r="B7" s="213" t="n">
        <v>1616</v>
      </c>
      <c r="C7" s="214" t="n">
        <v>1272</v>
      </c>
      <c r="D7" s="63" t="n"/>
      <c r="E7" s="44" t="n"/>
      <c r="Z7" s="46" t="inlineStr">
        <is>
          <t xml:space="preserve">TOTAL </t>
        </is>
      </c>
      <c r="AA7" s="211">
        <f>SUM(AA3,AA5)</f>
        <v/>
      </c>
      <c r="AB7" s="212">
        <f>SUM(AB3,AB5)</f>
        <v/>
      </c>
      <c r="AC7" s="77" t="inlineStr">
        <is>
          <t xml:space="preserve">TOTAL </t>
        </is>
      </c>
      <c r="AD7" s="211">
        <f>SUM(AD3,AD5)</f>
        <v/>
      </c>
      <c r="AE7" s="102" t="inlineStr">
        <is>
          <t>ANUNCIOS</t>
        </is>
      </c>
      <c r="AF7" s="5" t="inlineStr">
        <is>
          <t>jan</t>
        </is>
      </c>
      <c r="AG7" s="216" t="n">
        <v>1500</v>
      </c>
      <c r="AH7" s="217" t="n">
        <v>32727</v>
      </c>
      <c r="AI7" s="217" t="n">
        <v>3500</v>
      </c>
      <c r="AJ7" s="217" t="n">
        <v>8000</v>
      </c>
      <c r="AK7" s="218">
        <f>SUM(AG7:AG17,AH7,AI7)</f>
        <v/>
      </c>
      <c r="AL7" s="219" t="n">
        <v>101708</v>
      </c>
      <c r="AM7" s="220">
        <f>AL7-AK7</f>
        <v/>
      </c>
    </row>
    <row r="8" ht="23.4" customHeight="1">
      <c r="A8" s="29" t="inlineStr">
        <is>
          <t>JUN</t>
        </is>
      </c>
      <c r="B8" s="213" t="n">
        <v>3040</v>
      </c>
      <c r="C8" s="214" t="n">
        <v>2696</v>
      </c>
      <c r="D8" s="63" t="n"/>
      <c r="E8" s="44" t="n"/>
      <c r="AF8" s="5" t="inlineStr">
        <is>
          <t>fev</t>
        </is>
      </c>
      <c r="AG8" s="216" t="n">
        <v>1500</v>
      </c>
      <c r="AH8" s="221" t="n"/>
      <c r="AM8" s="222" t="n"/>
    </row>
    <row r="9" ht="26.25" customHeight="1">
      <c r="A9" s="68" t="inlineStr">
        <is>
          <t>JUL</t>
        </is>
      </c>
      <c r="B9" s="213" t="n">
        <v>5510</v>
      </c>
      <c r="C9" s="214" t="n">
        <v>2554</v>
      </c>
      <c r="D9" s="223" t="n">
        <v>1934</v>
      </c>
      <c r="E9" s="82">
        <f>B9/D9</f>
        <v/>
      </c>
      <c r="Y9" s="153" t="n">
        <v>2021</v>
      </c>
      <c r="AE9" s="1" t="inlineStr">
        <is>
          <t xml:space="preserve">ativador do office </t>
        </is>
      </c>
      <c r="AF9" s="5" t="inlineStr">
        <is>
          <t>mar</t>
        </is>
      </c>
      <c r="AG9" s="216" t="n">
        <v>1500</v>
      </c>
      <c r="AH9" s="221" t="n"/>
    </row>
    <row r="10" ht="24" customHeight="1">
      <c r="A10" s="29" t="inlineStr">
        <is>
          <t>AGO</t>
        </is>
      </c>
      <c r="B10" s="213" t="n">
        <v>7655</v>
      </c>
      <c r="C10" s="214" t="n">
        <v>6041</v>
      </c>
      <c r="D10" s="223" t="n">
        <v>4255</v>
      </c>
      <c r="E10" s="82">
        <f>B10/D10</f>
        <v/>
      </c>
      <c r="Y10" s="224" t="n"/>
      <c r="AF10" s="5" t="inlineStr">
        <is>
          <t>abr</t>
        </is>
      </c>
      <c r="AG10" s="216" t="n">
        <v>1500</v>
      </c>
      <c r="AH10" s="221" t="n"/>
    </row>
    <row r="11" ht="24" customHeight="1">
      <c r="A11" s="29" t="inlineStr">
        <is>
          <t>SET</t>
        </is>
      </c>
      <c r="B11" s="213" t="n">
        <v>9416</v>
      </c>
      <c r="C11" s="214" t="n">
        <v>7902</v>
      </c>
      <c r="D11" s="223" t="n">
        <v>7790</v>
      </c>
      <c r="E11" s="82">
        <f>B11/D11</f>
        <v/>
      </c>
      <c r="Y11" s="224" t="n"/>
      <c r="AF11" s="5" t="inlineStr">
        <is>
          <t>mai</t>
        </is>
      </c>
      <c r="AG11" s="216" t="n">
        <v>1500</v>
      </c>
      <c r="AH11" s="221" t="n"/>
    </row>
    <row r="12" ht="24" customHeight="1">
      <c r="A12" s="29" t="inlineStr">
        <is>
          <t>OUT</t>
        </is>
      </c>
      <c r="B12" s="213" t="n">
        <v>8850</v>
      </c>
      <c r="C12" s="214" t="n">
        <v>6706</v>
      </c>
      <c r="D12" s="223" t="n">
        <v>7800</v>
      </c>
      <c r="E12" s="82">
        <f>B12/D12</f>
        <v/>
      </c>
      <c r="Y12" s="224" t="n"/>
      <c r="AF12" s="5" t="inlineStr">
        <is>
          <t>jun</t>
        </is>
      </c>
      <c r="AG12" s="216" t="n">
        <v>2000</v>
      </c>
      <c r="AH12" s="221" t="n"/>
    </row>
    <row r="13" ht="24" customHeight="1">
      <c r="A13" s="29" t="inlineStr">
        <is>
          <t>NOV</t>
        </is>
      </c>
      <c r="B13" s="213" t="n">
        <v>13978</v>
      </c>
      <c r="C13" s="214" t="n">
        <v>13486</v>
      </c>
      <c r="D13" s="223" t="n">
        <v>8432</v>
      </c>
      <c r="E13" s="82">
        <f>B13/D13</f>
        <v/>
      </c>
      <c r="Y13" s="200" t="n"/>
      <c r="AF13" s="5" t="inlineStr">
        <is>
          <t>jul</t>
        </is>
      </c>
      <c r="AG13" s="216" t="n">
        <v>2000</v>
      </c>
      <c r="AH13" s="221" t="n"/>
      <c r="AM13" s="1" t="inlineStr">
        <is>
          <t>CUSTO</t>
        </is>
      </c>
      <c r="AN13" s="1" t="inlineStr">
        <is>
          <t>TOTAL</t>
        </is>
      </c>
      <c r="AO13" s="1" t="inlineStr">
        <is>
          <t>TOTAL</t>
        </is>
      </c>
    </row>
    <row r="14" ht="24" customHeight="1" thickBot="1">
      <c r="A14" s="29" t="inlineStr">
        <is>
          <t>DEZ</t>
        </is>
      </c>
      <c r="B14" s="213" t="n">
        <v>19727</v>
      </c>
      <c r="C14" s="214" t="n">
        <v>12605</v>
      </c>
      <c r="D14" s="223" t="n">
        <v>7700</v>
      </c>
      <c r="E14" s="82">
        <f>B14/D14</f>
        <v/>
      </c>
      <c r="Y14" s="152" t="n">
        <v>2020</v>
      </c>
      <c r="AF14" s="5" t="inlineStr">
        <is>
          <t>ago</t>
        </is>
      </c>
      <c r="AG14" s="216" t="n">
        <v>2000</v>
      </c>
      <c r="AH14" s="221" t="n"/>
      <c r="AI14" s="104" t="inlineStr">
        <is>
          <t>CORDA ATOMIC 4T</t>
        </is>
      </c>
      <c r="AJ14" s="104" t="inlineStr">
        <is>
          <t>CABEÇA EXTRA SOFT</t>
        </is>
      </c>
      <c r="AL14" s="107" t="n">
        <v>61</v>
      </c>
      <c r="AM14" s="1" t="n">
        <v>60</v>
      </c>
      <c r="AN14" s="1">
        <f>AL14*AM14</f>
        <v/>
      </c>
      <c r="AO14" s="1">
        <f>SUM(AN14:AN51)</f>
        <v/>
      </c>
    </row>
    <row r="15" ht="24" customHeight="1" thickBot="1">
      <c r="A15" s="29" t="inlineStr">
        <is>
          <t>JAN</t>
        </is>
      </c>
      <c r="B15" s="213" t="n">
        <v>10279</v>
      </c>
      <c r="C15" s="214" t="n">
        <v>7556</v>
      </c>
      <c r="D15" s="223" t="n">
        <v>6863</v>
      </c>
      <c r="E15" s="82">
        <f>B15/D15</f>
        <v/>
      </c>
      <c r="Y15" s="224" t="n"/>
      <c r="AF15" s="5" t="inlineStr">
        <is>
          <t>set</t>
        </is>
      </c>
      <c r="AG15" s="216" t="n">
        <v>2000</v>
      </c>
      <c r="AH15" s="221" t="n"/>
      <c r="AI15" s="104" t="inlineStr">
        <is>
          <t>LUVAS POWER</t>
        </is>
      </c>
      <c r="AJ15" s="104" t="inlineStr">
        <is>
          <t>Default Title</t>
        </is>
      </c>
      <c r="AL15" s="107" t="n">
        <v>53</v>
      </c>
      <c r="AN15" s="1">
        <f>AL15*AM15</f>
        <v/>
      </c>
    </row>
    <row r="16" ht="24" customHeight="1" thickBot="1">
      <c r="A16" s="62" t="inlineStr">
        <is>
          <t>FEV</t>
        </is>
      </c>
      <c r="B16" s="215" t="n">
        <v>19359</v>
      </c>
      <c r="C16" s="214" t="n">
        <v>13288</v>
      </c>
      <c r="D16" s="223" t="n">
        <v>5239</v>
      </c>
      <c r="E16" s="82">
        <f>B16/D16</f>
        <v/>
      </c>
      <c r="Y16" s="224" t="n"/>
      <c r="AE16" s="97" t="n"/>
      <c r="AF16" s="5" t="inlineStr">
        <is>
          <t>out</t>
        </is>
      </c>
      <c r="AG16" s="216" t="n">
        <v>2000</v>
      </c>
      <c r="AH16" s="221" t="n"/>
      <c r="AI16" s="104" t="inlineStr">
        <is>
          <t>CORDOVA</t>
        </is>
      </c>
      <c r="AJ16" s="104" t="inlineStr">
        <is>
          <t>PRETO</t>
        </is>
      </c>
      <c r="AL16" s="107" t="n">
        <v>36</v>
      </c>
      <c r="AN16" s="1">
        <f>AL16*AM16</f>
        <v/>
      </c>
    </row>
    <row r="17" ht="24" customHeight="1" thickBot="1">
      <c r="A17" s="29" t="inlineStr">
        <is>
          <t>MAR</t>
        </is>
      </c>
      <c r="B17" s="213" t="n">
        <v>8804</v>
      </c>
      <c r="C17" s="214" t="n">
        <v>8473</v>
      </c>
      <c r="D17" s="225" t="n">
        <v>980</v>
      </c>
      <c r="E17" s="82">
        <f>B17/D17</f>
        <v/>
      </c>
      <c r="G17" s="70" t="inlineStr">
        <is>
          <t>INVESTIMENTO</t>
        </is>
      </c>
      <c r="I17" s="168" t="inlineStr">
        <is>
          <t>FATURADO</t>
        </is>
      </c>
      <c r="K17" s="149" t="inlineStr">
        <is>
          <t>LIQUIDO</t>
        </is>
      </c>
      <c r="Y17" s="224" t="n"/>
      <c r="AE17" s="97" t="n"/>
      <c r="AF17" s="5" t="inlineStr">
        <is>
          <t>nov</t>
        </is>
      </c>
      <c r="AG17" s="216" t="n">
        <v>2001</v>
      </c>
      <c r="AI17" s="104" t="inlineStr">
        <is>
          <t>CORDA ATOMIC 4T</t>
        </is>
      </c>
      <c r="AJ17" s="104" t="inlineStr">
        <is>
          <t>PÉ MEDIUM</t>
        </is>
      </c>
      <c r="AL17" s="107" t="n">
        <v>30</v>
      </c>
      <c r="AM17" s="1" t="n">
        <v>60</v>
      </c>
      <c r="AN17" s="1">
        <f>AL17*AM17</f>
        <v/>
      </c>
    </row>
    <row r="18" ht="24" customHeight="1" thickBot="1">
      <c r="A18" s="29" t="inlineStr">
        <is>
          <t>ABRIL</t>
        </is>
      </c>
      <c r="B18" s="213" t="n">
        <v>13735</v>
      </c>
      <c r="C18" s="214" t="n">
        <v>10367</v>
      </c>
      <c r="D18" s="225" t="n">
        <v>3000</v>
      </c>
      <c r="E18" s="82">
        <f>B18/D18</f>
        <v/>
      </c>
      <c r="Y18" s="200" t="n"/>
      <c r="AE18" s="97" t="n"/>
      <c r="AI18" s="104" t="inlineStr">
        <is>
          <t>CORDA SNIPER 4T</t>
        </is>
      </c>
      <c r="AJ18" s="104" t="inlineStr">
        <is>
          <t>CABEÇA SOFT</t>
        </is>
      </c>
      <c r="AL18" s="107" t="n">
        <v>29</v>
      </c>
      <c r="AM18" s="1" t="n">
        <v>60</v>
      </c>
      <c r="AN18" s="1">
        <f>AL18*AM18</f>
        <v/>
      </c>
    </row>
    <row r="19" ht="24" customHeight="1" thickBot="1">
      <c r="A19" s="29" t="inlineStr">
        <is>
          <t>MAIO</t>
        </is>
      </c>
      <c r="B19" s="213" t="n">
        <v>10110</v>
      </c>
      <c r="C19" s="214" t="n">
        <v>6251</v>
      </c>
      <c r="D19" s="225" t="n">
        <v>3600</v>
      </c>
      <c r="E19" s="82">
        <f>B19/D19</f>
        <v/>
      </c>
      <c r="AI19" s="104" t="inlineStr">
        <is>
          <t>CORDOVA</t>
        </is>
      </c>
      <c r="AJ19" s="104" t="inlineStr">
        <is>
          <t>BRANCO</t>
        </is>
      </c>
      <c r="AL19" s="107" t="n">
        <v>26</v>
      </c>
      <c r="AN19" s="1">
        <f>AL19*AM19</f>
        <v/>
      </c>
    </row>
    <row r="20" ht="26.4" customHeight="1" thickBot="1">
      <c r="A20" s="29" t="inlineStr">
        <is>
          <t>JUNHO</t>
        </is>
      </c>
      <c r="B20" s="213" t="n">
        <v>15745</v>
      </c>
      <c r="C20" s="214" t="n">
        <v>13383</v>
      </c>
      <c r="D20" s="225" t="n">
        <v>1140</v>
      </c>
      <c r="E20" s="82">
        <f>B20/D20</f>
        <v/>
      </c>
      <c r="Z20" s="156" t="inlineStr">
        <is>
          <t xml:space="preserve">OTIMIZAR INSTAGRAM </t>
        </is>
      </c>
      <c r="AA20" s="208" t="n"/>
      <c r="AB20" s="208" t="n"/>
      <c r="AC20" s="202" t="n"/>
      <c r="AI20" s="104" t="inlineStr">
        <is>
          <t>CORDA ATOMIC 4T</t>
        </is>
      </c>
      <c r="AJ20" s="104" t="inlineStr">
        <is>
          <t>CABEÇA MEDIUM SOFT</t>
        </is>
      </c>
      <c r="AL20" s="107" t="n">
        <v>26</v>
      </c>
      <c r="AM20" s="1" t="n">
        <v>60</v>
      </c>
      <c r="AN20" s="1">
        <f>AL20*AM20</f>
        <v/>
      </c>
    </row>
    <row r="21" ht="24" customHeight="1" thickBot="1">
      <c r="A21" s="68" t="inlineStr">
        <is>
          <t>JULHO</t>
        </is>
      </c>
      <c r="B21" s="213" t="n">
        <v>10899</v>
      </c>
      <c r="C21" s="214" t="n">
        <v>9176</v>
      </c>
      <c r="D21" s="225" t="n">
        <v>1170</v>
      </c>
      <c r="E21" s="82">
        <f>B21/D21</f>
        <v/>
      </c>
      <c r="G21" s="1" t="n">
        <v>11379</v>
      </c>
      <c r="H21" s="1" t="n"/>
      <c r="Z21" s="154" t="inlineStr">
        <is>
          <t>1- TUTORIAL ENSINANDO ALGO PASSO A PASSO</t>
        </is>
      </c>
      <c r="AA21" s="208" t="n"/>
      <c r="AB21" s="208" t="n"/>
      <c r="AC21" s="202" t="n"/>
      <c r="AI21" s="104" t="inlineStr">
        <is>
          <t>CORDA SNIPER 4T</t>
        </is>
      </c>
      <c r="AJ21" s="104" t="inlineStr">
        <is>
          <t>CABEÇA MEDIUM S</t>
        </is>
      </c>
      <c r="AL21" s="107" t="n">
        <v>25</v>
      </c>
      <c r="AM21" s="1" t="n">
        <v>60</v>
      </c>
      <c r="AN21" s="1">
        <f>AL21*AM21</f>
        <v/>
      </c>
    </row>
    <row r="22" ht="24" customHeight="1" thickBot="1">
      <c r="A22" s="29" t="inlineStr">
        <is>
          <t>AGOSTO</t>
        </is>
      </c>
      <c r="B22" s="213" t="n">
        <v>10733</v>
      </c>
      <c r="C22" s="214" t="n">
        <v>8125</v>
      </c>
      <c r="D22" s="225" t="n">
        <v>2463</v>
      </c>
      <c r="E22" s="82">
        <f>B22/D22</f>
        <v/>
      </c>
      <c r="G22" s="1" t="n">
        <v>-2700</v>
      </c>
      <c r="H22" s="1" t="inlineStr">
        <is>
          <t>ANUNCIO</t>
        </is>
      </c>
      <c r="Z22" s="154" t="inlineStr">
        <is>
          <t>2- CHECKLIST DE ITENS PARA TEAM ROPING</t>
        </is>
      </c>
      <c r="AA22" s="208" t="n"/>
      <c r="AB22" s="208" t="n"/>
      <c r="AC22" s="202" t="n"/>
      <c r="AI22" s="104" t="inlineStr">
        <is>
          <t>CORDA SNIPER 4T</t>
        </is>
      </c>
      <c r="AJ22" s="104" t="inlineStr">
        <is>
          <t>CABEÇA EXTRA SO</t>
        </is>
      </c>
      <c r="AL22" s="107" t="n">
        <v>24</v>
      </c>
      <c r="AM22" s="1" t="n">
        <v>60</v>
      </c>
      <c r="AN22" s="1">
        <f>AL22*AM22</f>
        <v/>
      </c>
    </row>
    <row r="23" ht="24" customHeight="1" thickBot="1">
      <c r="A23" s="29" t="inlineStr">
        <is>
          <t>SETEMBRO</t>
        </is>
      </c>
      <c r="B23" s="213" t="n">
        <v>12578</v>
      </c>
      <c r="C23" s="214" t="n">
        <v>11379</v>
      </c>
      <c r="D23" s="225" t="n">
        <v>2700</v>
      </c>
      <c r="E23" s="82">
        <f>B23/D23</f>
        <v/>
      </c>
      <c r="G23" s="1" t="n">
        <v>-2000</v>
      </c>
      <c r="H23" s="1" t="inlineStr">
        <is>
          <t>GESTOR</t>
        </is>
      </c>
      <c r="Z23" s="154" t="inlineStr">
        <is>
          <t>3- SEQUENCIA DE DICAS (COMO LACAR, COMO ESCOLHER CORDA..ETC)</t>
        </is>
      </c>
      <c r="AA23" s="208" t="n"/>
      <c r="AB23" s="208" t="n"/>
      <c r="AC23" s="202" t="n"/>
      <c r="AI23" s="104" t="inlineStr">
        <is>
          <t>CORDA BLUE SPEED 4T</t>
        </is>
      </c>
      <c r="AJ23" s="104" t="inlineStr">
        <is>
          <t>CABEÇA MEDIUM SOFT</t>
        </is>
      </c>
      <c r="AL23" s="107" t="n">
        <v>20</v>
      </c>
      <c r="AM23" s="1" t="n">
        <v>60</v>
      </c>
      <c r="AN23" s="1">
        <f>AL23*AM23</f>
        <v/>
      </c>
    </row>
    <row r="24" ht="24" customHeight="1" thickBot="1">
      <c r="A24" s="29" t="inlineStr">
        <is>
          <t>OUTUBRO</t>
        </is>
      </c>
      <c r="B24" s="213" t="n">
        <v>10924</v>
      </c>
      <c r="C24" s="214" t="n">
        <v>5276</v>
      </c>
      <c r="D24" s="225" t="n">
        <v>2200</v>
      </c>
      <c r="E24" s="82">
        <f>B24/D24</f>
        <v/>
      </c>
      <c r="G24" s="1" t="n">
        <v>-892</v>
      </c>
      <c r="H24" s="1" t="inlineStr">
        <is>
          <t>FRETE</t>
        </is>
      </c>
      <c r="Z24" s="154" t="inlineStr">
        <is>
          <t>4 - ENQUETES DIARIAS NOS STORIES</t>
        </is>
      </c>
      <c r="AA24" s="208" t="n"/>
      <c r="AB24" s="208" t="n"/>
      <c r="AC24" s="202" t="n"/>
      <c r="AI24" s="104" t="inlineStr">
        <is>
          <t>Caneleira Racer</t>
        </is>
      </c>
      <c r="AJ24" s="104" t="inlineStr">
        <is>
          <t>BRANCO</t>
        </is>
      </c>
      <c r="AL24" s="107" t="n">
        <v>19</v>
      </c>
      <c r="AN24" s="1">
        <f>AL24*AM24</f>
        <v/>
      </c>
    </row>
    <row r="25" ht="24" customHeight="1" thickBot="1">
      <c r="A25" s="29" t="inlineStr">
        <is>
          <t>NOVEMBRO</t>
        </is>
      </c>
      <c r="B25" s="213" t="n">
        <v>6965</v>
      </c>
      <c r="C25" s="214" t="n">
        <v>5898</v>
      </c>
      <c r="D25" s="225" t="n">
        <v>2800</v>
      </c>
      <c r="E25" s="82">
        <f>B25/D25</f>
        <v/>
      </c>
      <c r="I25" t="inlineStr">
        <is>
          <t xml:space="preserve"> </t>
        </is>
      </c>
      <c r="Z25" s="154" t="inlineStr">
        <is>
          <t>5 - CAIXA DE PERGUNTAS</t>
        </is>
      </c>
      <c r="AA25" s="208" t="n"/>
      <c r="AB25" s="208" t="n"/>
      <c r="AC25" s="202" t="n"/>
      <c r="AI25" s="104" t="inlineStr">
        <is>
          <t>CORDA SNIPER 4T</t>
        </is>
      </c>
      <c r="AJ25" s="104" t="inlineStr">
        <is>
          <t>PÉ HARD MEDIUM</t>
        </is>
      </c>
      <c r="AL25" s="107" t="n">
        <v>19</v>
      </c>
      <c r="AM25" s="1" t="n">
        <v>60</v>
      </c>
      <c r="AN25" s="1">
        <f>AL25*AM25</f>
        <v/>
      </c>
    </row>
    <row r="26" ht="24" customHeight="1" thickBot="1">
      <c r="A26" s="29" t="inlineStr">
        <is>
          <t>DEZEMBRO</t>
        </is>
      </c>
      <c r="B26" s="213" t="n">
        <v>2536</v>
      </c>
      <c r="C26" s="214" t="n">
        <v>2536</v>
      </c>
      <c r="D26" s="225" t="n">
        <v>925</v>
      </c>
      <c r="E26" s="82">
        <f>B26/D26</f>
        <v/>
      </c>
      <c r="Z26" s="154" t="inlineStr">
        <is>
          <t>6 - HUMANIZAR A MARCA</t>
        </is>
      </c>
      <c r="AA26" s="208" t="n"/>
      <c r="AB26" s="208" t="n"/>
      <c r="AC26" s="202" t="n"/>
      <c r="AI26" s="104" t="inlineStr">
        <is>
          <t>CORDA BLUE SPEED 4T</t>
        </is>
      </c>
      <c r="AJ26" s="104" t="inlineStr">
        <is>
          <t>CABEÇA EXTRA SOFT</t>
        </is>
      </c>
      <c r="AL26" s="107" t="n">
        <v>18</v>
      </c>
      <c r="AM26" s="1" t="n">
        <v>60</v>
      </c>
      <c r="AN26" s="1">
        <f>AL26*AM26</f>
        <v/>
      </c>
    </row>
    <row r="27" ht="18.6" customHeight="1" thickBot="1">
      <c r="AI27" s="104" t="inlineStr">
        <is>
          <t>CORDA ATOMIC 4T</t>
        </is>
      </c>
      <c r="AJ27" s="104" t="inlineStr">
        <is>
          <t>CABEÇA SOFT</t>
        </is>
      </c>
      <c r="AL27" s="107" t="n">
        <v>18</v>
      </c>
      <c r="AM27" s="1" t="n">
        <v>60</v>
      </c>
      <c r="AN27" s="1">
        <f>AL27*AM27</f>
        <v/>
      </c>
    </row>
    <row r="28" ht="21.6" customHeight="1" thickBot="1">
      <c r="Z28" s="154" t="n"/>
      <c r="AA28" s="208" t="n"/>
      <c r="AB28" s="208" t="n"/>
      <c r="AC28" s="202" t="n"/>
      <c r="AI28" s="104" t="inlineStr">
        <is>
          <t>Elastico para corda</t>
        </is>
      </c>
      <c r="AJ28" s="104" t="inlineStr">
        <is>
          <t>Default Title</t>
        </is>
      </c>
      <c r="AL28" s="107" t="n">
        <v>18</v>
      </c>
      <c r="AN28" s="1">
        <f>AL28*AM28</f>
        <v/>
      </c>
    </row>
    <row r="29" ht="18.6" customHeight="1" thickBot="1">
      <c r="AI29" s="104" t="inlineStr">
        <is>
          <t>CORDA FX4 4T</t>
        </is>
      </c>
      <c r="AJ29" s="104" t="inlineStr">
        <is>
          <t>PÉ MEDIUM</t>
        </is>
      </c>
      <c r="AL29" s="107" t="n">
        <v>16</v>
      </c>
      <c r="AM29" s="1" t="n">
        <v>60</v>
      </c>
      <c r="AN29" s="1">
        <f>AL29*AM29</f>
        <v/>
      </c>
    </row>
    <row r="30" ht="26.4" customHeight="1" thickBot="1">
      <c r="Z30" s="155" t="inlineStr">
        <is>
          <t>OTIMIZAR SITE</t>
        </is>
      </c>
      <c r="AA30" s="208" t="n"/>
      <c r="AB30" s="208" t="n"/>
      <c r="AC30" s="202" t="n"/>
      <c r="AI30" s="104" t="inlineStr">
        <is>
          <t>CLOCHES POWER PROTECTION</t>
        </is>
      </c>
      <c r="AJ30" s="104" t="inlineStr">
        <is>
          <t>BRANCO</t>
        </is>
      </c>
      <c r="AL30" s="107" t="n">
        <v>16</v>
      </c>
      <c r="AN30" s="1">
        <f>AL30*AM30</f>
        <v/>
      </c>
    </row>
    <row r="31" ht="21.6" customHeight="1" thickBot="1">
      <c r="Z31" s="154" t="inlineStr">
        <is>
          <t>1 - ALTERAR BANNERS PRINCIPAIS DO SITE PERSONALIZADO DESIGN</t>
        </is>
      </c>
      <c r="AA31" s="208" t="n"/>
      <c r="AB31" s="208" t="n"/>
      <c r="AC31" s="202" t="n"/>
      <c r="AI31" s="104" t="inlineStr">
        <is>
          <t>CORDA BLUE SPEED 4T</t>
        </is>
      </c>
      <c r="AJ31" s="104" t="inlineStr">
        <is>
          <t>PÉ MEDIUM</t>
        </is>
      </c>
      <c r="AL31" s="107" t="n">
        <v>16</v>
      </c>
      <c r="AM31" s="1" t="n">
        <v>60</v>
      </c>
      <c r="AN31" s="1">
        <f>AL31*AM31</f>
        <v/>
      </c>
    </row>
    <row r="32" ht="21.6" customHeight="1" thickBot="1">
      <c r="Z32" s="154" t="inlineStr">
        <is>
          <t>2 - ALTERAR FOTOS DAS CATEGORIAS DOS PRODUTOS</t>
        </is>
      </c>
      <c r="AA32" s="208" t="n"/>
      <c r="AB32" s="208" t="n"/>
      <c r="AC32" s="202" t="n"/>
      <c r="AI32" s="104" t="inlineStr">
        <is>
          <t>CORDA KIDS</t>
        </is>
      </c>
      <c r="AJ32" s="104" t="inlineStr">
        <is>
          <t>Pe Medium</t>
        </is>
      </c>
      <c r="AL32" s="107" t="n">
        <v>15</v>
      </c>
      <c r="AN32" s="1">
        <f>AL32*AM32</f>
        <v/>
      </c>
    </row>
    <row r="33" ht="21.6" customHeight="1" thickBot="1">
      <c r="Z33" s="154" t="inlineStr">
        <is>
          <t>3 - COPYS COM GATILHOS MENTAIS DOS DEMAIS PRODUTOS</t>
        </is>
      </c>
      <c r="AA33" s="208" t="n"/>
      <c r="AB33" s="208" t="n"/>
      <c r="AC33" s="202" t="n"/>
      <c r="AI33" s="104" t="inlineStr">
        <is>
          <t>CORDA ATOMIC 4T</t>
        </is>
      </c>
      <c r="AJ33" s="104" t="inlineStr">
        <is>
          <t>PÉ HARD MEDIUM</t>
        </is>
      </c>
      <c r="AL33" s="107" t="n">
        <v>14</v>
      </c>
      <c r="AN33" s="1">
        <f>AL33*AM33</f>
        <v/>
      </c>
    </row>
    <row r="34" ht="21.6" customHeight="1" thickBot="1">
      <c r="Z34" s="154" t="inlineStr">
        <is>
          <t>4 - DEFINIR DEMAIS UPSELL E CROSSELL</t>
        </is>
      </c>
      <c r="AA34" s="208" t="n"/>
      <c r="AB34" s="208" t="n"/>
      <c r="AC34" s="202" t="n"/>
      <c r="AI34" s="104" t="inlineStr">
        <is>
          <t>CORDA ATOMIC 4T</t>
        </is>
      </c>
      <c r="AJ34" s="104" t="inlineStr">
        <is>
          <t>MEDIUM SOFT</t>
        </is>
      </c>
      <c r="AL34" s="107" t="n">
        <v>14</v>
      </c>
      <c r="AN34" s="1">
        <f>AL34*AM34</f>
        <v/>
      </c>
    </row>
    <row r="35" ht="21.6" customHeight="1" thickBot="1">
      <c r="Z35" s="154" t="n"/>
      <c r="AA35" s="208" t="n"/>
      <c r="AB35" s="208" t="n"/>
      <c r="AC35" s="202" t="n"/>
      <c r="AI35" s="104" t="inlineStr">
        <is>
          <t>CORDA FX4 4T</t>
        </is>
      </c>
      <c r="AJ35" s="104" t="inlineStr">
        <is>
          <t>PÉ HARD MEDIUM</t>
        </is>
      </c>
      <c r="AL35" s="107" t="n">
        <v>13</v>
      </c>
      <c r="AN35" s="1">
        <f>AL35*AM35</f>
        <v/>
      </c>
    </row>
    <row r="36" ht="21.6" customHeight="1" thickBot="1">
      <c r="Z36" s="154" t="n"/>
      <c r="AA36" s="208" t="n"/>
      <c r="AB36" s="208" t="n"/>
      <c r="AC36" s="202" t="n"/>
      <c r="AI36" s="104" t="inlineStr">
        <is>
          <t>CORDA BLUE SHARK 4T</t>
        </is>
      </c>
      <c r="AJ36" s="104" t="inlineStr">
        <is>
          <t>PÉ MEDIUM</t>
        </is>
      </c>
      <c r="AL36" s="107" t="n">
        <v>13</v>
      </c>
      <c r="AN36" s="1">
        <f>AL36*AM36</f>
        <v/>
      </c>
    </row>
    <row r="37" ht="21.6" customHeight="1" thickBot="1">
      <c r="Z37" s="154" t="n"/>
      <c r="AA37" s="208" t="n"/>
      <c r="AB37" s="208" t="n"/>
      <c r="AC37" s="202" t="n"/>
      <c r="AI37" s="104" t="inlineStr">
        <is>
          <t>CORDA APACHE 3T</t>
        </is>
      </c>
      <c r="AJ37" s="104" t="inlineStr">
        <is>
          <t>CABEÇA MEDIUM SOFT</t>
        </is>
      </c>
      <c r="AL37" s="107" t="n">
        <v>12</v>
      </c>
      <c r="AN37" s="1">
        <f>AL37*AM37</f>
        <v/>
      </c>
    </row>
    <row r="38" ht="21.6" customHeight="1" thickBot="1">
      <c r="Z38" s="154" t="n"/>
      <c r="AA38" s="208" t="n"/>
      <c r="AB38" s="208" t="n"/>
      <c r="AC38" s="202" t="n"/>
      <c r="AI38" s="104" t="inlineStr">
        <is>
          <t>BONÉ POWER</t>
        </is>
      </c>
      <c r="AJ38" s="104" t="inlineStr">
        <is>
          <t>Default Title</t>
        </is>
      </c>
      <c r="AL38" s="107" t="n">
        <v>12</v>
      </c>
      <c r="AN38" s="1">
        <f>AL38*AM38</f>
        <v/>
      </c>
    </row>
    <row r="39" ht="18.6" customHeight="1" thickBot="1">
      <c r="AI39" s="104" t="inlineStr">
        <is>
          <t>CORDA SNIPER 4T</t>
        </is>
      </c>
      <c r="AJ39" s="104" t="inlineStr">
        <is>
          <t>PÉ MEDIUM</t>
        </is>
      </c>
      <c r="AL39" s="107" t="n">
        <v>12</v>
      </c>
      <c r="AM39" s="1" t="n">
        <v>60</v>
      </c>
      <c r="AN39" s="1">
        <f>AL39*AM39</f>
        <v/>
      </c>
    </row>
    <row r="40" ht="18.6" customHeight="1" thickBot="1">
      <c r="AI40" s="104" t="inlineStr">
        <is>
          <t>CORDA FX4 4T</t>
        </is>
      </c>
      <c r="AJ40" s="104" t="inlineStr">
        <is>
          <t>CABEÇA EXTRA SOFT</t>
        </is>
      </c>
      <c r="AL40" s="107" t="n">
        <v>11</v>
      </c>
      <c r="AM40" s="1" t="n">
        <v>60</v>
      </c>
      <c r="AN40" s="1">
        <f>AL40*AM40</f>
        <v/>
      </c>
    </row>
    <row r="41" ht="18.6" customHeight="1" thickBot="1">
      <c r="AI41" s="104" t="inlineStr">
        <is>
          <t>CORDA FX4 4T</t>
        </is>
      </c>
      <c r="AJ41" s="104" t="inlineStr">
        <is>
          <t>CABEÇA MEDIUM SOFT</t>
        </is>
      </c>
      <c r="AL41" s="107" t="n">
        <v>10</v>
      </c>
      <c r="AM41" s="1" t="n">
        <v>60</v>
      </c>
      <c r="AN41" s="1">
        <f>AL41*AM41</f>
        <v/>
      </c>
    </row>
    <row r="42" ht="18.6" customHeight="1" thickBot="1">
      <c r="AI42" s="104" t="inlineStr">
        <is>
          <t>CORDA ORANGE 3T</t>
        </is>
      </c>
      <c r="AJ42" s="104" t="inlineStr">
        <is>
          <t>CABEÇA EXTRA SOFT</t>
        </is>
      </c>
      <c r="AL42" s="107" t="n">
        <v>10</v>
      </c>
      <c r="AM42" s="1" t="n">
        <v>60</v>
      </c>
      <c r="AN42" s="1">
        <f>AL42*AM42</f>
        <v/>
      </c>
    </row>
    <row r="43" ht="18.6" customHeight="1" thickBot="1">
      <c r="AI43" s="104" t="inlineStr">
        <is>
          <t>CLOCHES POWER PROTECTION</t>
        </is>
      </c>
      <c r="AJ43" s="104" t="inlineStr">
        <is>
          <t>ROSA</t>
        </is>
      </c>
      <c r="AL43" s="107" t="n">
        <v>9</v>
      </c>
      <c r="AN43" s="1">
        <f>AL43*AM43</f>
        <v/>
      </c>
    </row>
    <row r="44" ht="18.6" customHeight="1" thickBot="1">
      <c r="AI44" s="104" t="inlineStr">
        <is>
          <t>CORDA BLUE SHARK 4T</t>
        </is>
      </c>
      <c r="AJ44" s="104" t="inlineStr">
        <is>
          <t>CABEÇA SOFT</t>
        </is>
      </c>
      <c r="AL44" s="107" t="n">
        <v>9</v>
      </c>
      <c r="AM44" s="1" t="n">
        <v>60</v>
      </c>
      <c r="AN44" s="1">
        <f>AL44*AM44</f>
        <v/>
      </c>
    </row>
    <row r="45" ht="18.6" customHeight="1" thickBot="1">
      <c r="AI45" s="104" t="inlineStr">
        <is>
          <t>CORDA FX4 4T</t>
        </is>
      </c>
      <c r="AJ45" s="104" t="inlineStr">
        <is>
          <t>CABEÇA MEDIUM SOFT</t>
        </is>
      </c>
      <c r="AL45" s="107" t="n">
        <v>9</v>
      </c>
      <c r="AM45" s="1" t="n">
        <v>60</v>
      </c>
      <c r="AN45" s="1">
        <f>AL45*AM45</f>
        <v/>
      </c>
    </row>
    <row r="46" ht="18.6" customHeight="1" thickBot="1">
      <c r="AI46" s="104" t="inlineStr">
        <is>
          <t>CORDA BLUE SHARK 4T</t>
        </is>
      </c>
      <c r="AJ46" s="104" t="inlineStr">
        <is>
          <t>CABEÇA EXTRA SOFT</t>
        </is>
      </c>
      <c r="AL46" s="107" t="n">
        <v>9</v>
      </c>
      <c r="AM46" s="1" t="n">
        <v>60</v>
      </c>
      <c r="AN46" s="1">
        <f>AL46*AM46</f>
        <v/>
      </c>
    </row>
    <row r="47" ht="18.6" customHeight="1" thickBot="1">
      <c r="AI47" s="104" t="inlineStr">
        <is>
          <t>CORDA KIDS</t>
        </is>
      </c>
      <c r="AJ47" s="104" t="inlineStr">
        <is>
          <t>Cabeça Soft</t>
        </is>
      </c>
      <c r="AL47" s="107" t="n">
        <v>9</v>
      </c>
      <c r="AN47" s="1">
        <f>AL47*AM47</f>
        <v/>
      </c>
    </row>
    <row r="48" ht="18.6" customHeight="1" thickBot="1">
      <c r="AI48" s="104" t="inlineStr">
        <is>
          <t>MANGA LONGA POWER</t>
        </is>
      </c>
      <c r="AJ48" s="104" t="inlineStr">
        <is>
          <t>G</t>
        </is>
      </c>
      <c r="AL48" s="107" t="n">
        <v>9</v>
      </c>
      <c r="AN48" s="1">
        <f>AL48*AM48</f>
        <v/>
      </c>
    </row>
    <row r="49" ht="18.6" customHeight="1" thickBot="1">
      <c r="AI49" s="104" t="inlineStr">
        <is>
          <t>CORDA APACHE 3T</t>
        </is>
      </c>
      <c r="AJ49" s="104" t="inlineStr">
        <is>
          <t>CABEÇA EXTRA SOFT</t>
        </is>
      </c>
      <c r="AL49" s="107" t="n">
        <v>8</v>
      </c>
      <c r="AN49" s="1">
        <f>AL49*AM49</f>
        <v/>
      </c>
    </row>
    <row r="50" ht="18.6" customHeight="1" thickBot="1">
      <c r="AI50" s="104" t="inlineStr">
        <is>
          <t>TREINO CAVALETE BOI</t>
        </is>
      </c>
      <c r="AJ50" s="104" t="inlineStr">
        <is>
          <t>PRETO</t>
        </is>
      </c>
      <c r="AL50" s="107" t="n">
        <v>7</v>
      </c>
      <c r="AN50" s="1">
        <f>AL50*AM50</f>
        <v/>
      </c>
    </row>
    <row r="51" ht="18.6" customHeight="1" thickBot="1">
      <c r="AI51" s="105" t="inlineStr">
        <is>
          <t>CORDA SNIPER 4T</t>
        </is>
      </c>
      <c r="AJ51" s="105" t="inlineStr">
        <is>
          <t>CABEÇA EXTRA SO</t>
        </is>
      </c>
      <c r="AL51" s="108" t="n">
        <v>7</v>
      </c>
      <c r="AM51" s="1" t="n">
        <v>60</v>
      </c>
      <c r="AN51" s="1">
        <f>AL51*AM51</f>
        <v/>
      </c>
    </row>
  </sheetData>
  <mergeCells count="31">
    <mergeCell ref="Z38:AC38"/>
    <mergeCell ref="AB1:AB2"/>
    <mergeCell ref="AD1:AD2"/>
    <mergeCell ref="B3:B4"/>
    <mergeCell ref="Z35:AC35"/>
    <mergeCell ref="Z20:AC20"/>
    <mergeCell ref="Z34:AC34"/>
    <mergeCell ref="Z28:AC28"/>
    <mergeCell ref="Z24:AC24"/>
    <mergeCell ref="C2:E2"/>
    <mergeCell ref="Z31:AC31"/>
    <mergeCell ref="Z36:AC36"/>
    <mergeCell ref="Z30:AC30"/>
    <mergeCell ref="D3:D4"/>
    <mergeCell ref="AC1:AC2"/>
    <mergeCell ref="AE1:AE2"/>
    <mergeCell ref="Z32:AC32"/>
    <mergeCell ref="Z26:AC26"/>
    <mergeCell ref="Z25:AC25"/>
    <mergeCell ref="Z1:Z2"/>
    <mergeCell ref="K17:L17"/>
    <mergeCell ref="Z37:AC37"/>
    <mergeCell ref="Y9:Y13"/>
    <mergeCell ref="Z22:AC22"/>
    <mergeCell ref="Z21:AC21"/>
    <mergeCell ref="C3:C4"/>
    <mergeCell ref="E3:E4"/>
    <mergeCell ref="Y14:Y18"/>
    <mergeCell ref="Z33:AC33"/>
    <mergeCell ref="AA1:AA2"/>
    <mergeCell ref="Z23:AC23"/>
  </mergeCell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57"/>
  <sheetViews>
    <sheetView zoomScale="90" zoomScaleNormal="90" workbookViewId="0">
      <selection activeCell="E4" sqref="E4"/>
    </sheetView>
  </sheetViews>
  <sheetFormatPr baseColWidth="8" defaultRowHeight="14.4"/>
  <cols>
    <col width="27.33203125" bestFit="1" customWidth="1" style="1" min="1" max="1"/>
    <col width="26.88671875" bestFit="1" customWidth="1" min="2" max="2"/>
    <col width="27.44140625" customWidth="1" min="3" max="3"/>
    <col width="29.109375" customWidth="1" min="4" max="4"/>
    <col width="28" bestFit="1" customWidth="1" min="5" max="5"/>
    <col width="13.6640625" bestFit="1" customWidth="1" min="6" max="6"/>
    <col width="18.44140625" bestFit="1" customWidth="1" min="21" max="21"/>
  </cols>
  <sheetData>
    <row r="1">
      <c r="D1" s="158" t="inlineStr">
        <is>
          <t>OBS</t>
        </is>
      </c>
    </row>
    <row r="2">
      <c r="D2" s="200" t="n"/>
    </row>
    <row r="3" ht="21" customHeight="1">
      <c r="D3" s="44" t="inlineStr">
        <is>
          <t>VENDAS SITE 2 ANOS 22K</t>
        </is>
      </c>
      <c r="T3" s="2" t="n"/>
      <c r="U3" s="30" t="inlineStr">
        <is>
          <t>PEDIDOS MÊS</t>
        </is>
      </c>
    </row>
    <row r="4" ht="23.4" customHeight="1">
      <c r="T4" s="15" t="inlineStr">
        <is>
          <t>MAR</t>
        </is>
      </c>
      <c r="U4" s="24" t="n">
        <v>10</v>
      </c>
    </row>
    <row r="5" ht="23.4" customHeight="1">
      <c r="T5" s="15" t="inlineStr">
        <is>
          <t>ABR</t>
        </is>
      </c>
      <c r="U5" s="22" t="n">
        <v>3</v>
      </c>
    </row>
    <row r="6" ht="25.8" customHeight="1">
      <c r="B6" s="1" t="n"/>
      <c r="C6" s="26" t="inlineStr">
        <is>
          <t>INICIO</t>
        </is>
      </c>
      <c r="D6" s="25" t="n">
        <v>44012</v>
      </c>
      <c r="T6" s="15" t="inlineStr">
        <is>
          <t>MAI</t>
        </is>
      </c>
      <c r="U6" s="24" t="n">
        <v>10</v>
      </c>
    </row>
    <row r="7" ht="23.4" customHeight="1">
      <c r="C7" s="147" t="inlineStr">
        <is>
          <t>FATURADO</t>
        </is>
      </c>
      <c r="D7" s="159" t="inlineStr">
        <is>
          <t>LIQUIDO</t>
        </is>
      </c>
      <c r="T7" s="15" t="inlineStr">
        <is>
          <t>JUN</t>
        </is>
      </c>
      <c r="U7" s="24" t="n">
        <v>16</v>
      </c>
    </row>
    <row r="8" ht="18.6" customHeight="1">
      <c r="A8" s="20" t="inlineStr">
        <is>
          <t>%</t>
        </is>
      </c>
      <c r="B8" s="32" t="n"/>
      <c r="C8" s="200" t="n"/>
      <c r="D8" s="200" t="n"/>
      <c r="E8" s="31" t="inlineStr">
        <is>
          <t>%</t>
        </is>
      </c>
      <c r="T8" s="15" t="inlineStr">
        <is>
          <t>JUL</t>
        </is>
      </c>
      <c r="U8" s="23" t="n">
        <v>22</v>
      </c>
    </row>
    <row r="9" ht="24" customHeight="1">
      <c r="A9" s="28">
        <f>(C10/C9)/C9</f>
        <v/>
      </c>
      <c r="B9" s="29" t="inlineStr">
        <is>
          <t>MAR</t>
        </is>
      </c>
      <c r="C9" s="226" t="n">
        <v>1603</v>
      </c>
      <c r="D9" s="226" t="n">
        <v>848</v>
      </c>
      <c r="E9" s="28" t="n">
        <v>0</v>
      </c>
      <c r="T9" s="15" t="inlineStr">
        <is>
          <t>AGO</t>
        </is>
      </c>
      <c r="U9" s="24" t="n">
        <v>32</v>
      </c>
    </row>
    <row r="10" ht="24" customHeight="1">
      <c r="A10" s="28">
        <f>(C10-C9)/C9</f>
        <v/>
      </c>
      <c r="B10" s="29" t="inlineStr">
        <is>
          <t>ABR</t>
        </is>
      </c>
      <c r="C10" s="227" t="n">
        <v>313</v>
      </c>
      <c r="D10" s="226" t="n">
        <v>313</v>
      </c>
      <c r="E10" s="28">
        <f>(D10-D9)/D9</f>
        <v/>
      </c>
      <c r="T10" s="15" t="inlineStr">
        <is>
          <t>SET</t>
        </is>
      </c>
      <c r="U10" s="24" t="n">
        <v>40</v>
      </c>
    </row>
    <row r="11" ht="24" customHeight="1">
      <c r="A11" s="28">
        <f>(C11-C10)/C10</f>
        <v/>
      </c>
      <c r="B11" s="29" t="inlineStr">
        <is>
          <t>MAI</t>
        </is>
      </c>
      <c r="C11" s="226" t="n">
        <v>1616</v>
      </c>
      <c r="D11" s="226" t="n">
        <v>1272</v>
      </c>
      <c r="E11" s="28">
        <f>(D11-D10)/D10</f>
        <v/>
      </c>
      <c r="T11" s="15" t="inlineStr">
        <is>
          <t>OUT</t>
        </is>
      </c>
      <c r="U11" s="24" t="n">
        <v>46</v>
      </c>
    </row>
    <row r="12" ht="24" customHeight="1">
      <c r="A12" s="28">
        <f>(C12-C11)/C11</f>
        <v/>
      </c>
      <c r="B12" s="29" t="inlineStr">
        <is>
          <t>JUN</t>
        </is>
      </c>
      <c r="C12" s="226" t="n">
        <v>3040</v>
      </c>
      <c r="D12" s="226" t="n">
        <v>2696</v>
      </c>
      <c r="E12" s="28">
        <f>(D12-D11)/D11</f>
        <v/>
      </c>
      <c r="T12" s="15" t="inlineStr">
        <is>
          <t>NOV</t>
        </is>
      </c>
      <c r="U12" s="24" t="n">
        <v>40</v>
      </c>
    </row>
    <row r="13" ht="24" customHeight="1">
      <c r="A13" s="28">
        <f>(C13-C12)/C12</f>
        <v/>
      </c>
      <c r="B13" s="29" t="inlineStr">
        <is>
          <t>JUL</t>
        </is>
      </c>
      <c r="C13" s="228" t="n">
        <v>5510</v>
      </c>
      <c r="D13" s="228" t="n">
        <v>2554</v>
      </c>
      <c r="E13" s="28">
        <f>(D13-D12)/D12</f>
        <v/>
      </c>
      <c r="T13" s="15" t="inlineStr">
        <is>
          <t>DEZ</t>
        </is>
      </c>
      <c r="U13" s="24" t="n">
        <v>64</v>
      </c>
    </row>
    <row r="14" ht="24" customHeight="1">
      <c r="A14" s="28">
        <f>(C14-C13)/C13</f>
        <v/>
      </c>
      <c r="B14" s="29" t="inlineStr">
        <is>
          <t>AGO</t>
        </is>
      </c>
      <c r="C14" s="226" t="n">
        <v>7655</v>
      </c>
      <c r="D14" s="226" t="n">
        <v>6041</v>
      </c>
      <c r="E14" s="28">
        <f>(D14-D13)/D13</f>
        <v/>
      </c>
      <c r="T14" s="16" t="inlineStr">
        <is>
          <t>META</t>
        </is>
      </c>
      <c r="U14" s="24" t="n">
        <v>100</v>
      </c>
    </row>
    <row r="15" ht="23.4" customHeight="1">
      <c r="A15" s="28">
        <f>(C15-C14)/C14</f>
        <v/>
      </c>
      <c r="B15" s="29" t="inlineStr">
        <is>
          <t>SET</t>
        </is>
      </c>
      <c r="C15" s="226" t="n">
        <v>9416</v>
      </c>
      <c r="D15" s="226" t="n">
        <v>7902</v>
      </c>
      <c r="E15" s="28">
        <f>(D15-D14)/D14</f>
        <v/>
      </c>
    </row>
    <row r="16" ht="23.4" customHeight="1">
      <c r="A16" s="28">
        <f>(C16-C15)/C15</f>
        <v/>
      </c>
      <c r="B16" s="29" t="inlineStr">
        <is>
          <t>OUT</t>
        </is>
      </c>
      <c r="C16" s="226" t="n">
        <v>8850</v>
      </c>
      <c r="D16" s="226" t="n">
        <v>6706</v>
      </c>
      <c r="E16" s="28">
        <f>(D16-D15)/D15</f>
        <v/>
      </c>
      <c r="U16" s="45" t="n"/>
    </row>
    <row r="17" ht="23.4" customHeight="1">
      <c r="A17" s="28">
        <f>(C17-C16)/C16</f>
        <v/>
      </c>
      <c r="B17" s="29" t="inlineStr">
        <is>
          <t>NOV</t>
        </is>
      </c>
      <c r="C17" s="226" t="n">
        <v>13978</v>
      </c>
      <c r="D17" s="226" t="n">
        <v>13486</v>
      </c>
      <c r="E17" s="28">
        <f>(D17-D16)/D16</f>
        <v/>
      </c>
    </row>
    <row r="18" ht="23.4" customHeight="1">
      <c r="A18" s="28">
        <f>(C18-C17)/C17</f>
        <v/>
      </c>
      <c r="B18" s="29" t="inlineStr">
        <is>
          <t>DEZ</t>
        </is>
      </c>
      <c r="C18" s="226" t="n">
        <v>19727</v>
      </c>
      <c r="D18" s="226" t="n">
        <v>12605</v>
      </c>
      <c r="E18" s="28">
        <f>(D18-D17)/D17</f>
        <v/>
      </c>
    </row>
    <row r="19" ht="28.8" customHeight="1">
      <c r="B19" s="39" t="inlineStr">
        <is>
          <t>TOTAL VENDAS</t>
        </is>
      </c>
      <c r="C19" s="211">
        <f>SUM(C13:C18)</f>
        <v/>
      </c>
      <c r="D19" s="211">
        <f>SUM(D13:D18)</f>
        <v/>
      </c>
    </row>
    <row r="20" ht="32.4" customHeight="1">
      <c r="A20" s="160" t="inlineStr">
        <is>
          <t>VENDAS DESDE INICIO</t>
        </is>
      </c>
      <c r="B20" s="202" t="n"/>
      <c r="C20" s="38">
        <f>(C18-C12)/C12</f>
        <v/>
      </c>
    </row>
    <row r="23" ht="36.6" customHeight="1">
      <c r="A23" s="33" t="inlineStr">
        <is>
          <t>META</t>
        </is>
      </c>
      <c r="B23" s="13" t="n"/>
      <c r="C23" s="19" t="inlineStr">
        <is>
          <t>ANUNCIO</t>
        </is>
      </c>
      <c r="D23" s="20" t="inlineStr">
        <is>
          <t>CRESCIMENTO</t>
        </is>
      </c>
      <c r="E23" s="27" t="inlineStr">
        <is>
          <t>TOTAL INVESTIDO</t>
        </is>
      </c>
    </row>
    <row r="24" ht="23.4" customHeight="1">
      <c r="A24" s="229" t="n">
        <v>100000</v>
      </c>
      <c r="B24" s="41" t="inlineStr">
        <is>
          <t>MAR</t>
        </is>
      </c>
      <c r="C24" s="226" t="n"/>
      <c r="D24" s="8" t="n">
        <v>0</v>
      </c>
      <c r="E24" s="230">
        <f>SUM(C28:C33)</f>
        <v/>
      </c>
    </row>
    <row r="25" ht="18" customHeight="1">
      <c r="B25" s="42" t="inlineStr">
        <is>
          <t>ABR</t>
        </is>
      </c>
      <c r="C25" s="226" t="n">
        <v>0</v>
      </c>
      <c r="D25" s="8">
        <f>(C25-C24)/C24</f>
        <v/>
      </c>
    </row>
    <row r="26" ht="23.4" customHeight="1">
      <c r="A26" s="229" t="n">
        <v>1000000</v>
      </c>
      <c r="B26" s="42" t="inlineStr">
        <is>
          <t>MAI</t>
        </is>
      </c>
      <c r="C26" s="226" t="n">
        <v>0</v>
      </c>
      <c r="D26" s="8">
        <f>(C26-C25)/C25</f>
        <v/>
      </c>
    </row>
    <row r="27" ht="18" customHeight="1">
      <c r="B27" s="42" t="inlineStr">
        <is>
          <t>JUN</t>
        </is>
      </c>
      <c r="C27" s="226" t="n">
        <v>0</v>
      </c>
      <c r="D27" s="8">
        <f>(C27-C26)/C26</f>
        <v/>
      </c>
    </row>
    <row r="28" ht="18" customHeight="1">
      <c r="B28" s="42" t="inlineStr">
        <is>
          <t>JUL</t>
        </is>
      </c>
      <c r="C28" s="226" t="n">
        <v>1934</v>
      </c>
      <c r="D28" s="8">
        <f>(C28-C27)/C27</f>
        <v/>
      </c>
    </row>
    <row r="29" ht="18" customHeight="1">
      <c r="B29" s="42" t="inlineStr">
        <is>
          <t>AGO</t>
        </is>
      </c>
      <c r="C29" s="226" t="n">
        <v>3387</v>
      </c>
      <c r="D29" s="8">
        <f>(C29-C28)/C28</f>
        <v/>
      </c>
    </row>
    <row r="30" ht="18" customHeight="1">
      <c r="B30" s="42" t="inlineStr">
        <is>
          <t>SET</t>
        </is>
      </c>
      <c r="C30" s="226" t="n">
        <v>7700</v>
      </c>
      <c r="D30" s="8">
        <f>(C30-C29)/C29</f>
        <v/>
      </c>
    </row>
    <row r="31" ht="18" customHeight="1">
      <c r="B31" s="42" t="inlineStr">
        <is>
          <t>OUT</t>
        </is>
      </c>
      <c r="C31" s="226" t="n">
        <v>7700</v>
      </c>
      <c r="D31" s="8">
        <f>(C31-C30)/C30</f>
        <v/>
      </c>
    </row>
    <row r="32" ht="18" customHeight="1">
      <c r="B32" s="42" t="inlineStr">
        <is>
          <t>NOV</t>
        </is>
      </c>
      <c r="C32" s="226" t="n">
        <v>7600</v>
      </c>
      <c r="D32" s="8">
        <f>(C32-C31)/C31</f>
        <v/>
      </c>
    </row>
    <row r="33" ht="21" customHeight="1">
      <c r="B33" s="43" t="inlineStr">
        <is>
          <t>DEZ</t>
        </is>
      </c>
      <c r="C33" s="226" t="n">
        <v>7600</v>
      </c>
      <c r="D33" s="35">
        <f>(C33-C32)/C32</f>
        <v/>
      </c>
      <c r="E33" s="40" t="inlineStr">
        <is>
          <t>TOTAL + APORTE</t>
        </is>
      </c>
    </row>
    <row r="34" ht="25.8" customHeight="1">
      <c r="A34" s="44" t="inlineStr">
        <is>
          <t>PAGAMENTO AGO</t>
        </is>
      </c>
      <c r="B34" s="226" t="n">
        <v>1000</v>
      </c>
      <c r="C34" s="231" t="n">
        <v>1500</v>
      </c>
      <c r="E34" s="232">
        <f>SUM(C28:C33,B34:B38)</f>
        <v/>
      </c>
    </row>
    <row r="35" ht="18" customHeight="1">
      <c r="A35" s="44" t="inlineStr">
        <is>
          <t>PAGAMENTO SET</t>
        </is>
      </c>
      <c r="B35" s="226" t="n">
        <v>1500</v>
      </c>
      <c r="C35" s="231" t="n">
        <v>1500</v>
      </c>
    </row>
    <row r="36" ht="18" customHeight="1">
      <c r="A36" s="44" t="inlineStr">
        <is>
          <t>PAGAMENTO OUT</t>
        </is>
      </c>
      <c r="B36" s="226" t="n">
        <v>1500</v>
      </c>
      <c r="C36" s="231" t="n">
        <v>1500</v>
      </c>
    </row>
    <row r="37" ht="18" customHeight="1">
      <c r="A37" s="44" t="inlineStr">
        <is>
          <t>PAGAMENTO NOV</t>
        </is>
      </c>
      <c r="B37" s="226" t="n">
        <v>1500</v>
      </c>
      <c r="C37" s="231" t="n">
        <v>1500</v>
      </c>
      <c r="D37" t="n">
        <v>2000</v>
      </c>
    </row>
    <row r="38" ht="18" customHeight="1">
      <c r="A38" s="44" t="inlineStr">
        <is>
          <t>PAGAMENTO DEZ</t>
        </is>
      </c>
      <c r="B38" s="226" t="n">
        <v>1500</v>
      </c>
      <c r="C38" s="231" t="n">
        <v>1500</v>
      </c>
      <c r="D38" t="n">
        <v>2000</v>
      </c>
    </row>
    <row r="39" ht="18" customHeight="1">
      <c r="A39" s="14" t="n"/>
    </row>
    <row r="40" ht="21" customHeight="1">
      <c r="A40" s="161" t="inlineStr">
        <is>
          <t>FACEBOOK</t>
        </is>
      </c>
      <c r="B40" s="208" t="n"/>
      <c r="C40" s="208" t="n"/>
      <c r="D40" s="208" t="n"/>
      <c r="E40" s="202" t="n"/>
    </row>
    <row r="41" ht="18" customHeight="1">
      <c r="A41" s="12" t="inlineStr">
        <is>
          <t>metricas secundarias</t>
        </is>
      </c>
      <c r="B41" s="50" t="inlineStr">
        <is>
          <t>C P M</t>
        </is>
      </c>
      <c r="C41" s="50" t="inlineStr">
        <is>
          <t>CTR</t>
        </is>
      </c>
      <c r="D41" s="50" t="inlineStr">
        <is>
          <t>ALCANCE</t>
        </is>
      </c>
      <c r="E41" s="50" t="inlineStr">
        <is>
          <t>GASTO</t>
        </is>
      </c>
    </row>
    <row r="42" ht="18" customHeight="1">
      <c r="A42" s="49" t="inlineStr">
        <is>
          <t>JULHO</t>
        </is>
      </c>
      <c r="B42" s="226" t="n">
        <v>3.98</v>
      </c>
      <c r="C42" s="52" t="n">
        <v>0.0109</v>
      </c>
      <c r="D42" s="51" t="n">
        <v>485763</v>
      </c>
      <c r="E42" s="226" t="n">
        <v>1934</v>
      </c>
    </row>
    <row r="43" ht="18" customHeight="1">
      <c r="A43" s="44" t="inlineStr">
        <is>
          <t>AGOSTO</t>
        </is>
      </c>
      <c r="B43" s="226" t="n">
        <v>8.99</v>
      </c>
      <c r="C43" s="52" t="n">
        <v>0.0097</v>
      </c>
      <c r="D43" s="51" t="n">
        <v>473599</v>
      </c>
      <c r="E43" s="226" t="n">
        <v>4255</v>
      </c>
    </row>
    <row r="44" ht="18" customHeight="1">
      <c r="A44" s="44" t="inlineStr">
        <is>
          <t>SETEMBRO</t>
        </is>
      </c>
      <c r="B44" s="226" t="n">
        <v>7.2</v>
      </c>
      <c r="C44" s="52" t="n">
        <v>0.007</v>
      </c>
      <c r="D44" s="51" t="n">
        <v>1023602</v>
      </c>
      <c r="E44" s="226" t="n">
        <v>7371</v>
      </c>
    </row>
    <row r="45" ht="18" customHeight="1">
      <c r="A45" s="44" t="inlineStr">
        <is>
          <t>OUTURBRO</t>
        </is>
      </c>
      <c r="B45" s="226" t="n">
        <v>8.91</v>
      </c>
      <c r="C45" s="52" t="n">
        <v>0.0097</v>
      </c>
      <c r="D45" s="51" t="n">
        <v>735748</v>
      </c>
      <c r="E45" s="226" t="n">
        <v>6557</v>
      </c>
    </row>
    <row r="46" ht="18" customHeight="1">
      <c r="A46" s="44" t="inlineStr">
        <is>
          <t>NOVEMBRO</t>
        </is>
      </c>
      <c r="B46" s="226" t="n">
        <v>19.93</v>
      </c>
      <c r="C46" s="52" t="n">
        <v>0.0083</v>
      </c>
      <c r="D46" s="51" t="n">
        <v>423098</v>
      </c>
      <c r="E46" s="226" t="n">
        <v>8432</v>
      </c>
    </row>
    <row r="47" ht="18" customHeight="1">
      <c r="A47" s="44" t="inlineStr">
        <is>
          <t>DEZEMBRO</t>
        </is>
      </c>
      <c r="B47" s="226" t="n">
        <v>15.26</v>
      </c>
      <c r="C47" s="52" t="n">
        <v>0.0067</v>
      </c>
      <c r="D47" s="51" t="n">
        <v>406651</v>
      </c>
      <c r="E47" s="226" t="n">
        <v>6203</v>
      </c>
    </row>
    <row r="48" ht="18" customHeight="1">
      <c r="A48" s="14" t="n"/>
    </row>
    <row r="49" ht="21" customHeight="1">
      <c r="A49" s="157" t="inlineStr">
        <is>
          <t>GOOGLE</t>
        </is>
      </c>
      <c r="B49" s="208" t="n"/>
      <c r="C49" s="208" t="n"/>
      <c r="D49" s="208" t="n"/>
      <c r="E49" s="202" t="n"/>
    </row>
    <row r="50" ht="18" customHeight="1">
      <c r="A50" s="12" t="inlineStr">
        <is>
          <t>metricas secundarias</t>
        </is>
      </c>
      <c r="B50" s="50" t="inlineStr">
        <is>
          <t>C P M</t>
        </is>
      </c>
      <c r="C50" s="50" t="inlineStr">
        <is>
          <t>CTR</t>
        </is>
      </c>
      <c r="D50" s="50" t="inlineStr">
        <is>
          <t>ALCANCE</t>
        </is>
      </c>
      <c r="E50" s="50" t="inlineStr">
        <is>
          <t>GASTO</t>
        </is>
      </c>
    </row>
    <row r="51" ht="18" customHeight="1">
      <c r="A51" s="49" t="inlineStr">
        <is>
          <t>JULHO</t>
        </is>
      </c>
      <c r="B51" s="226" t="n">
        <v>3.98</v>
      </c>
      <c r="C51" s="52" t="n">
        <v>0.0109</v>
      </c>
      <c r="D51" s="51" t="n">
        <v>485763</v>
      </c>
      <c r="E51" s="226" t="n">
        <v>1934</v>
      </c>
    </row>
    <row r="52" ht="18" customHeight="1">
      <c r="A52" s="44" t="inlineStr">
        <is>
          <t>AGOSTO</t>
        </is>
      </c>
      <c r="B52" s="226" t="n">
        <v>8.99</v>
      </c>
      <c r="C52" s="52" t="n">
        <v>0.0097</v>
      </c>
      <c r="D52" s="51" t="n">
        <v>473599</v>
      </c>
      <c r="E52" s="226" t="n">
        <v>4255</v>
      </c>
    </row>
    <row r="53" ht="18" customHeight="1">
      <c r="A53" s="44" t="inlineStr">
        <is>
          <t>SETEMBRO</t>
        </is>
      </c>
      <c r="B53" s="226" t="n">
        <v>7.2</v>
      </c>
      <c r="C53" s="52" t="n">
        <v>0.007</v>
      </c>
      <c r="D53" s="51" t="n">
        <v>1023602</v>
      </c>
      <c r="E53" s="226" t="n">
        <v>7371</v>
      </c>
    </row>
    <row r="54" ht="18" customHeight="1">
      <c r="A54" s="44" t="inlineStr">
        <is>
          <t>OUTURBRO</t>
        </is>
      </c>
      <c r="B54" s="226" t="n">
        <v>8.91</v>
      </c>
      <c r="C54" s="52" t="n">
        <v>0.0097</v>
      </c>
      <c r="D54" s="51" t="n">
        <v>735748</v>
      </c>
      <c r="E54" s="226" t="n">
        <v>6557</v>
      </c>
    </row>
    <row r="55" ht="18" customHeight="1">
      <c r="A55" s="44" t="inlineStr">
        <is>
          <t>NOVEMBRO</t>
        </is>
      </c>
      <c r="B55" s="226" t="n">
        <v>19.93</v>
      </c>
      <c r="C55" s="52" t="n">
        <v>0.0083</v>
      </c>
      <c r="D55" s="51" t="n">
        <v>423098</v>
      </c>
      <c r="E55" s="226" t="n">
        <v>8432</v>
      </c>
    </row>
    <row r="56" ht="18" customHeight="1">
      <c r="A56" s="44" t="inlineStr">
        <is>
          <t>DEZEMBRO</t>
        </is>
      </c>
      <c r="B56" s="226" t="n">
        <v>15.26</v>
      </c>
      <c r="C56" s="52" t="n">
        <v>0.0067</v>
      </c>
      <c r="D56" s="51" t="n">
        <v>406651</v>
      </c>
      <c r="E56" s="226" t="n">
        <v>6203</v>
      </c>
    </row>
    <row r="57" ht="18" customHeight="1">
      <c r="A57" s="14" t="n"/>
    </row>
  </sheetData>
  <mergeCells count="6">
    <mergeCell ref="A20:B20"/>
    <mergeCell ref="A49:E49"/>
    <mergeCell ref="C7:C8"/>
    <mergeCell ref="D7:D8"/>
    <mergeCell ref="D1:D2"/>
    <mergeCell ref="A40:E40"/>
  </mergeCell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P28"/>
  <sheetViews>
    <sheetView zoomScale="90" zoomScaleNormal="90" workbookViewId="0">
      <selection activeCell="D9" sqref="D9:D13"/>
    </sheetView>
  </sheetViews>
  <sheetFormatPr baseColWidth="8" defaultRowHeight="14.4"/>
  <cols>
    <col width="27.33203125" bestFit="1" customWidth="1" min="1" max="1"/>
    <col width="30.6640625" customWidth="1" min="2" max="2"/>
    <col width="29.33203125" bestFit="1" customWidth="1" min="3" max="4"/>
    <col width="27.6640625" bestFit="1" customWidth="1" min="5" max="5"/>
    <col width="15.88671875" customWidth="1" min="6" max="6"/>
    <col width="19.5546875" bestFit="1" customWidth="1" min="24" max="24"/>
    <col width="31.33203125" bestFit="1" customWidth="1" min="37" max="37"/>
    <col width="37.6640625" customWidth="1" min="38" max="38"/>
    <col width="29.33203125" bestFit="1" customWidth="1" min="39" max="39"/>
    <col width="47.88671875" customWidth="1" min="40" max="40"/>
    <col width="27.109375" bestFit="1" customWidth="1" min="41" max="41"/>
    <col width="24.88671875" customWidth="1" min="42" max="42"/>
  </cols>
  <sheetData>
    <row r="1" ht="14.4" customHeight="1">
      <c r="AK1" s="151" t="inlineStr">
        <is>
          <t>6 meses</t>
        </is>
      </c>
      <c r="AL1" s="147" t="inlineStr">
        <is>
          <t>FATURADO</t>
        </is>
      </c>
      <c r="AM1" s="150" t="inlineStr">
        <is>
          <t>LIQUIDO</t>
        </is>
      </c>
      <c r="AN1" s="146" t="inlineStr">
        <is>
          <t>RETORNO SOBRE INVESTIMENTO</t>
        </is>
      </c>
      <c r="AO1" s="163" t="inlineStr">
        <is>
          <t>INVESTIMENTO</t>
        </is>
      </c>
      <c r="AP1" s="146" t="inlineStr">
        <is>
          <t>ROI LIQUIDO</t>
        </is>
      </c>
    </row>
    <row r="2" ht="14.4" customHeight="1">
      <c r="AK2" s="200" t="n"/>
      <c r="AL2" s="200" t="n"/>
      <c r="AM2" s="200" t="n"/>
      <c r="AN2" s="200" t="n"/>
      <c r="AO2" s="200" t="n"/>
      <c r="AP2" s="200" t="n"/>
    </row>
    <row r="3" ht="28.8" customHeight="1">
      <c r="AK3" s="46" t="inlineStr">
        <is>
          <t>TOTAL VENDAS 2020</t>
        </is>
      </c>
      <c r="AL3" s="211" t="n">
        <v>65136</v>
      </c>
      <c r="AM3" s="212" t="n">
        <v>49294</v>
      </c>
      <c r="AN3" s="76">
        <f>AL3/AO3</f>
        <v/>
      </c>
      <c r="AO3" s="211" t="n">
        <v>37911</v>
      </c>
      <c r="AP3" s="73">
        <f>AM3/AO3</f>
        <v/>
      </c>
    </row>
    <row r="4" ht="21.75" customHeight="1"/>
    <row r="5" ht="28.8" customHeight="1">
      <c r="AK5" s="46" t="inlineStr">
        <is>
          <t>TOTAL VENDAS 2021</t>
        </is>
      </c>
      <c r="AL5" s="211" t="n">
        <v>123160</v>
      </c>
      <c r="AM5" s="212" t="n">
        <v>93274</v>
      </c>
      <c r="AN5" s="76">
        <f>AL5/AO5</f>
        <v/>
      </c>
      <c r="AO5" s="211" t="n">
        <v>29000</v>
      </c>
      <c r="AP5" s="73">
        <f>AM5/AO5</f>
        <v/>
      </c>
    </row>
    <row r="6" ht="21" customHeight="1">
      <c r="B6" s="1" t="n"/>
      <c r="W6" s="2" t="n"/>
      <c r="X6" s="30" t="inlineStr">
        <is>
          <t>PEDIDOS MÊS</t>
        </is>
      </c>
    </row>
    <row r="7" ht="28.8" customHeight="1">
      <c r="B7" s="162" t="n">
        <v>2021</v>
      </c>
      <c r="C7" s="159" t="inlineStr">
        <is>
          <t>FATURADO</t>
        </is>
      </c>
      <c r="D7" s="159" t="inlineStr">
        <is>
          <t>LIQUIDO</t>
        </is>
      </c>
      <c r="E7" s="147" t="inlineStr">
        <is>
          <t>ANUCIO</t>
        </is>
      </c>
      <c r="F7" s="164" t="inlineStr">
        <is>
          <t>ROI</t>
        </is>
      </c>
      <c r="W7" s="15" t="inlineStr">
        <is>
          <t>JAN</t>
        </is>
      </c>
      <c r="X7" s="24" t="n">
        <v>38</v>
      </c>
      <c r="AK7" s="46" t="inlineStr">
        <is>
          <t xml:space="preserve">TOTAL </t>
        </is>
      </c>
      <c r="AL7" s="211">
        <f>SUM(AL3,AL5)</f>
        <v/>
      </c>
      <c r="AM7" s="212">
        <f>SUM(AM3,AM5)</f>
        <v/>
      </c>
      <c r="AN7" s="77" t="inlineStr">
        <is>
          <t xml:space="preserve">TOTAL </t>
        </is>
      </c>
      <c r="AO7" s="211">
        <f>SUM(AO3,AO5)</f>
        <v/>
      </c>
    </row>
    <row r="8" ht="23.4" customHeight="1">
      <c r="A8" s="71" t="inlineStr">
        <is>
          <t>%</t>
        </is>
      </c>
      <c r="B8" s="200" t="n"/>
      <c r="C8" s="200" t="n"/>
      <c r="D8" s="200" t="n"/>
      <c r="E8" s="200" t="n"/>
      <c r="F8" s="200" t="n"/>
      <c r="W8" s="15" t="inlineStr">
        <is>
          <t>FEV</t>
        </is>
      </c>
      <c r="X8" s="22" t="n">
        <v>37</v>
      </c>
    </row>
    <row r="9" ht="25.8" customHeight="1">
      <c r="A9" s="28">
        <f>(C10/C9)/C9</f>
        <v/>
      </c>
      <c r="B9" s="29" t="inlineStr">
        <is>
          <t>JAN</t>
        </is>
      </c>
      <c r="C9" s="213" t="n">
        <v>10279</v>
      </c>
      <c r="D9" s="214" t="n">
        <v>7556</v>
      </c>
      <c r="E9" s="223" t="n">
        <v>6800</v>
      </c>
      <c r="F9" s="82">
        <f>C9/E9</f>
        <v/>
      </c>
      <c r="W9" s="15" t="inlineStr">
        <is>
          <t>MAR</t>
        </is>
      </c>
      <c r="X9" s="24" t="n">
        <v>18</v>
      </c>
      <c r="AN9" s="169" t="inlineStr">
        <is>
          <t xml:space="preserve">REF 10 MESES </t>
        </is>
      </c>
      <c r="AO9" s="207" t="n">
        <v>16500</v>
      </c>
      <c r="AP9" s="79" t="inlineStr">
        <is>
          <t>GERENCIAMENTO</t>
        </is>
      </c>
    </row>
    <row r="10" ht="24" customHeight="1">
      <c r="A10" s="28">
        <f>(C10-C9)/C9</f>
        <v/>
      </c>
      <c r="B10" s="29" t="inlineStr">
        <is>
          <t>FEV</t>
        </is>
      </c>
      <c r="C10" s="215" t="n">
        <v>19359</v>
      </c>
      <c r="D10" s="214" t="n">
        <v>13288</v>
      </c>
      <c r="E10" s="223" t="n">
        <v>5239</v>
      </c>
      <c r="F10" s="82">
        <f>C10/E10</f>
        <v/>
      </c>
      <c r="W10" s="15" t="inlineStr">
        <is>
          <t>ABR</t>
        </is>
      </c>
      <c r="X10" s="24" t="n">
        <v>38</v>
      </c>
      <c r="AN10" s="200" t="n"/>
      <c r="AO10" s="209" t="n">
        <v>3000</v>
      </c>
      <c r="AP10" s="79" t="inlineStr">
        <is>
          <t>PLATAFORMA</t>
        </is>
      </c>
    </row>
    <row r="11" ht="24" customHeight="1">
      <c r="A11" s="28">
        <f>(C11-C10)/C10</f>
        <v/>
      </c>
      <c r="B11" s="29" t="inlineStr">
        <is>
          <t>MAR</t>
        </is>
      </c>
      <c r="C11" s="213" t="n">
        <v>8804</v>
      </c>
      <c r="D11" s="214" t="n">
        <v>8473</v>
      </c>
      <c r="E11" s="225" t="n">
        <v>980</v>
      </c>
      <c r="F11" s="82">
        <f>C11/E11</f>
        <v/>
      </c>
      <c r="W11" s="15" t="inlineStr">
        <is>
          <t>MAI</t>
        </is>
      </c>
      <c r="X11" s="24" t="n">
        <v>29</v>
      </c>
    </row>
    <row r="12" ht="24" customHeight="1">
      <c r="A12" s="28">
        <f>(C12-C11)/C11</f>
        <v/>
      </c>
      <c r="B12" s="29" t="inlineStr">
        <is>
          <t>ABRIL</t>
        </is>
      </c>
      <c r="C12" s="213" t="n">
        <v>13735</v>
      </c>
      <c r="D12" s="214" t="n">
        <v>10367</v>
      </c>
      <c r="E12" s="225" t="n">
        <v>3000</v>
      </c>
      <c r="F12" s="82">
        <f>C12/E12</f>
        <v/>
      </c>
      <c r="W12" s="15" t="inlineStr">
        <is>
          <t>JUN</t>
        </is>
      </c>
      <c r="X12" s="24" t="n">
        <v>47</v>
      </c>
    </row>
    <row r="13" ht="24" customHeight="1">
      <c r="A13" s="28">
        <f>(C13-C12)/C12</f>
        <v/>
      </c>
      <c r="B13" s="29" t="inlineStr">
        <is>
          <t>MAIO</t>
        </is>
      </c>
      <c r="C13" s="213" t="n">
        <v>10110</v>
      </c>
      <c r="D13" s="214" t="n">
        <v>6251</v>
      </c>
      <c r="E13" s="225" t="n">
        <v>3600</v>
      </c>
      <c r="F13" s="82">
        <f>C13/E13</f>
        <v/>
      </c>
      <c r="W13" s="15" t="inlineStr">
        <is>
          <t>JUL</t>
        </is>
      </c>
      <c r="X13" s="24" t="n"/>
      <c r="AP13" s="1" t="n"/>
    </row>
    <row r="14" ht="24" customHeight="1">
      <c r="A14" s="28">
        <f>(C14-C13)/C13</f>
        <v/>
      </c>
      <c r="B14" s="29" t="inlineStr">
        <is>
          <t>JUNHO</t>
        </is>
      </c>
      <c r="C14" s="213" t="n">
        <v>15745</v>
      </c>
      <c r="D14" s="214" t="n">
        <v>13383</v>
      </c>
      <c r="E14" s="225" t="n">
        <v>1140</v>
      </c>
      <c r="F14" s="82">
        <f>C14/E14</f>
        <v/>
      </c>
      <c r="W14" s="15" t="inlineStr">
        <is>
          <t>AGO</t>
        </is>
      </c>
      <c r="X14" s="24" t="n"/>
    </row>
    <row r="15" ht="24" customHeight="1">
      <c r="A15" s="28">
        <f>(C15-C14)/C14</f>
        <v/>
      </c>
      <c r="B15" s="29" t="inlineStr">
        <is>
          <t>JULHO</t>
        </is>
      </c>
      <c r="C15" s="213" t="n">
        <v>10899</v>
      </c>
      <c r="D15" s="214" t="n">
        <v>9176</v>
      </c>
      <c r="E15" s="225" t="n">
        <v>1170</v>
      </c>
      <c r="F15" s="82">
        <f>C15/E15</f>
        <v/>
      </c>
      <c r="W15" s="15" t="inlineStr">
        <is>
          <t>SET</t>
        </is>
      </c>
      <c r="X15" s="24" t="n"/>
    </row>
    <row r="16" ht="24" customHeight="1">
      <c r="A16" s="28">
        <f>(C16-C15)/C15</f>
        <v/>
      </c>
      <c r="B16" s="29" t="inlineStr">
        <is>
          <t>AGOSTO</t>
        </is>
      </c>
      <c r="C16" s="213" t="n">
        <v>10733</v>
      </c>
      <c r="D16" s="214" t="n">
        <v>8125</v>
      </c>
      <c r="E16" s="225" t="n">
        <v>2173</v>
      </c>
      <c r="F16" s="82">
        <f>C16/E16</f>
        <v/>
      </c>
      <c r="W16" s="15" t="inlineStr">
        <is>
          <t>OUT</t>
        </is>
      </c>
      <c r="X16" s="24" t="n"/>
    </row>
    <row r="17" ht="24" customHeight="1">
      <c r="A17" s="28">
        <f>(C17-C16)/C16</f>
        <v/>
      </c>
      <c r="B17" s="29" t="inlineStr">
        <is>
          <t>SETEMBRO</t>
        </is>
      </c>
      <c r="C17" s="213" t="n">
        <v>12578</v>
      </c>
      <c r="D17" s="214" t="n">
        <v>11379</v>
      </c>
      <c r="E17" s="225" t="n">
        <v>2700</v>
      </c>
      <c r="F17" s="82">
        <f>C17/E17</f>
        <v/>
      </c>
      <c r="W17" s="15" t="inlineStr">
        <is>
          <t>NOV</t>
        </is>
      </c>
      <c r="X17" s="24" t="n"/>
    </row>
    <row r="18" ht="24" customHeight="1">
      <c r="A18" s="28">
        <f>(C18-C17)/C17</f>
        <v/>
      </c>
      <c r="B18" s="29" t="inlineStr">
        <is>
          <t>OUTUBRO</t>
        </is>
      </c>
      <c r="C18" s="213" t="n">
        <v>10924</v>
      </c>
      <c r="D18" s="214" t="n">
        <v>5276</v>
      </c>
      <c r="E18" s="225" t="n">
        <v>2200</v>
      </c>
      <c r="F18" s="82">
        <f>C18/E18</f>
        <v/>
      </c>
      <c r="W18" s="15" t="inlineStr">
        <is>
          <t>DEZ</t>
        </is>
      </c>
      <c r="X18" s="24" t="n"/>
      <c r="AN18" t="inlineStr">
        <is>
          <t xml:space="preserve"> </t>
        </is>
      </c>
    </row>
    <row r="19" ht="24" customHeight="1">
      <c r="A19" s="28">
        <f>(C19-C18)/C18</f>
        <v/>
      </c>
      <c r="B19" s="29" t="inlineStr">
        <is>
          <t>NOVEMBRO</t>
        </is>
      </c>
      <c r="C19" s="213" t="n">
        <v>6965</v>
      </c>
      <c r="D19" s="214" t="n">
        <v>5898</v>
      </c>
      <c r="E19" s="225" t="n">
        <v>2800</v>
      </c>
      <c r="F19" s="82">
        <f>C19/E19</f>
        <v/>
      </c>
      <c r="W19" s="16" t="inlineStr">
        <is>
          <t>META</t>
        </is>
      </c>
      <c r="X19" s="24" t="n">
        <v>100</v>
      </c>
    </row>
    <row r="20" ht="23.4" customHeight="1">
      <c r="A20" s="28">
        <f>(C20-C17)/C17</f>
        <v/>
      </c>
      <c r="B20" s="29" t="inlineStr">
        <is>
          <t>DEZEMBRO</t>
        </is>
      </c>
      <c r="C20" s="213" t="n">
        <v>2536</v>
      </c>
      <c r="D20" s="214" t="n">
        <v>2536</v>
      </c>
      <c r="E20" s="225" t="n">
        <v>925</v>
      </c>
      <c r="F20" s="82">
        <f>C20/E20</f>
        <v/>
      </c>
    </row>
    <row r="21" ht="28.8" customHeight="1">
      <c r="B21" s="46" t="inlineStr">
        <is>
          <t>TOTAL VENDAS</t>
        </is>
      </c>
      <c r="C21" s="211">
        <f>SUM(C9:C20)</f>
        <v/>
      </c>
      <c r="D21" s="211">
        <f>SUM(D9:D20)</f>
        <v/>
      </c>
    </row>
    <row r="22" ht="21" customHeight="1">
      <c r="G22" s="167" t="inlineStr">
        <is>
          <t>INVESTIMENTO</t>
        </is>
      </c>
      <c r="I22" s="168" t="inlineStr">
        <is>
          <t>FATURADO</t>
        </is>
      </c>
      <c r="K22" s="149" t="inlineStr">
        <is>
          <t>LIQUIDO</t>
        </is>
      </c>
    </row>
    <row r="25" ht="36.6" customHeight="1">
      <c r="A25" s="33" t="inlineStr">
        <is>
          <t>META</t>
        </is>
      </c>
    </row>
    <row r="26" ht="23.4" customHeight="1">
      <c r="A26" s="233" t="n">
        <v>100000</v>
      </c>
    </row>
    <row r="28" ht="23.4" customHeight="1">
      <c r="A28" s="233" t="n">
        <v>1000000</v>
      </c>
    </row>
  </sheetData>
  <mergeCells count="15">
    <mergeCell ref="AN1:AN2"/>
    <mergeCell ref="AL1:AL2"/>
    <mergeCell ref="AM1:AM2"/>
    <mergeCell ref="AP1:AP2"/>
    <mergeCell ref="AO1:AO2"/>
    <mergeCell ref="K22:M22"/>
    <mergeCell ref="C7:C8"/>
    <mergeCell ref="B7:B8"/>
    <mergeCell ref="AN9:AN10"/>
    <mergeCell ref="D7:D8"/>
    <mergeCell ref="E7:E8"/>
    <mergeCell ref="I22:J22"/>
    <mergeCell ref="G22:H22"/>
    <mergeCell ref="F7:F8"/>
    <mergeCell ref="AK1:AK2"/>
  </mergeCell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P28"/>
  <sheetViews>
    <sheetView topLeftCell="A7" zoomScale="90" zoomScaleNormal="90" workbookViewId="0">
      <selection activeCell="C9" sqref="C9:C13"/>
    </sheetView>
  </sheetViews>
  <sheetFormatPr baseColWidth="8" defaultRowHeight="14.4"/>
  <cols>
    <col width="27.33203125" bestFit="1" customWidth="1" min="1" max="1"/>
    <col width="30.6640625" customWidth="1" min="2" max="2"/>
    <col width="29.33203125" bestFit="1" customWidth="1" min="3" max="4"/>
    <col width="27.6640625" bestFit="1" customWidth="1" min="5" max="5"/>
    <col width="15.88671875" customWidth="1" min="6" max="6"/>
    <col width="19.5546875" bestFit="1" customWidth="1" min="24" max="24"/>
    <col width="31.33203125" bestFit="1" customWidth="1" min="37" max="37"/>
    <col width="37.6640625" customWidth="1" min="38" max="38"/>
    <col width="29.33203125" bestFit="1" customWidth="1" min="39" max="39"/>
    <col width="47.88671875" customWidth="1" min="40" max="40"/>
    <col width="27.109375" bestFit="1" customWidth="1" min="41" max="41"/>
    <col width="24.88671875" customWidth="1" min="42" max="42"/>
  </cols>
  <sheetData>
    <row r="1" ht="14.4" customHeight="1">
      <c r="AK1" s="114" t="n"/>
      <c r="AL1" s="147" t="inlineStr">
        <is>
          <t>FATURADO</t>
        </is>
      </c>
      <c r="AM1" s="150" t="inlineStr">
        <is>
          <t>LIQUIDO</t>
        </is>
      </c>
      <c r="AN1" s="146" t="inlineStr">
        <is>
          <t>RETORNO SOBRE INVESTIMENTO</t>
        </is>
      </c>
      <c r="AO1" s="150" t="inlineStr">
        <is>
          <t>INVESTIMENTO</t>
        </is>
      </c>
      <c r="AP1" s="146" t="inlineStr">
        <is>
          <t>ROE LIQUIDO</t>
        </is>
      </c>
    </row>
    <row r="2" ht="14.4" customHeight="1">
      <c r="AK2" s="114" t="n"/>
      <c r="AL2" s="200" t="n"/>
      <c r="AM2" s="200" t="n"/>
      <c r="AN2" s="200" t="n"/>
      <c r="AO2" s="200" t="n"/>
      <c r="AP2" s="200" t="n"/>
    </row>
    <row r="3" ht="28.8" customHeight="1">
      <c r="AK3" s="46" t="inlineStr">
        <is>
          <t>TOTAL VENDAS 2020</t>
        </is>
      </c>
      <c r="AL3" s="211" t="n">
        <v>65136</v>
      </c>
      <c r="AM3" s="212" t="n">
        <v>49294</v>
      </c>
      <c r="AN3" s="76">
        <f>AL3/AO3</f>
        <v/>
      </c>
      <c r="AO3" s="211" t="n">
        <v>37911</v>
      </c>
      <c r="AP3" s="92">
        <f>AM3/AO3</f>
        <v/>
      </c>
    </row>
    <row r="4" ht="21.75" customHeight="1"/>
    <row r="5" ht="28.8" customHeight="1">
      <c r="AK5" s="46" t="inlineStr">
        <is>
          <t>TOTAL VENDAS 2021</t>
        </is>
      </c>
      <c r="AL5" s="211" t="n">
        <v>123160</v>
      </c>
      <c r="AM5" s="212" t="n">
        <v>101790</v>
      </c>
      <c r="AN5" s="76">
        <f>AL5/AO5</f>
        <v/>
      </c>
      <c r="AO5" s="211" t="n">
        <v>29000</v>
      </c>
      <c r="AP5" s="73">
        <f>AM5/AO5</f>
        <v/>
      </c>
    </row>
    <row r="6" ht="21" customHeight="1">
      <c r="B6" s="1" t="n"/>
      <c r="W6" s="2" t="n"/>
      <c r="X6" s="30" t="inlineStr">
        <is>
          <t>PEDIDOS MÊS</t>
        </is>
      </c>
    </row>
    <row r="7" ht="28.8" customHeight="1">
      <c r="B7" s="162" t="n">
        <v>2022</v>
      </c>
      <c r="C7" s="159" t="inlineStr">
        <is>
          <t>FATURADO</t>
        </is>
      </c>
      <c r="D7" s="159" t="inlineStr">
        <is>
          <t>LIQUIDO</t>
        </is>
      </c>
      <c r="E7" s="147" t="inlineStr">
        <is>
          <t>ANUCIO</t>
        </is>
      </c>
      <c r="F7" s="164" t="inlineStr">
        <is>
          <t>ROI</t>
        </is>
      </c>
      <c r="W7" s="15" t="inlineStr">
        <is>
          <t>JAN</t>
        </is>
      </c>
      <c r="X7" s="24" t="n">
        <v>10</v>
      </c>
      <c r="AK7" s="46" t="inlineStr">
        <is>
          <t>TOTAL VENDAS 2022</t>
        </is>
      </c>
      <c r="AL7" s="211" t="n">
        <v>49448</v>
      </c>
      <c r="AM7" s="212" t="n">
        <v>49250</v>
      </c>
      <c r="AN7" s="76">
        <f>AL7/AO7</f>
        <v/>
      </c>
      <c r="AO7" s="211" t="n">
        <v>8876</v>
      </c>
      <c r="AP7" s="92">
        <f>AM7/AO7</f>
        <v/>
      </c>
    </row>
    <row r="8" ht="23.4" customHeight="1">
      <c r="A8" s="71" t="inlineStr">
        <is>
          <t>%</t>
        </is>
      </c>
      <c r="B8" s="200" t="n"/>
      <c r="C8" s="200" t="n"/>
      <c r="D8" s="200" t="n"/>
      <c r="E8" s="200" t="n"/>
      <c r="F8" s="200" t="n"/>
      <c r="W8" s="15" t="inlineStr">
        <is>
          <t>FEV</t>
        </is>
      </c>
      <c r="X8" s="22" t="n">
        <v>7</v>
      </c>
    </row>
    <row r="9" ht="26.25" customHeight="1">
      <c r="A9" s="28">
        <f>(C10/C9)/C9</f>
        <v/>
      </c>
      <c r="B9" s="29" t="inlineStr">
        <is>
          <t>JAN</t>
        </is>
      </c>
      <c r="C9" s="213" t="n">
        <v>2783</v>
      </c>
      <c r="D9" s="214" t="n">
        <v>2783</v>
      </c>
      <c r="E9" s="223" t="n"/>
      <c r="F9" s="82">
        <f>C9/E9</f>
        <v/>
      </c>
      <c r="W9" s="15" t="inlineStr">
        <is>
          <t>MAR</t>
        </is>
      </c>
      <c r="X9" s="24" t="n">
        <v>5</v>
      </c>
      <c r="AK9" s="46" t="inlineStr">
        <is>
          <t xml:space="preserve">TOTAL </t>
        </is>
      </c>
      <c r="AL9" s="211">
        <f>SUM(AL3,AL5,AL7)</f>
        <v/>
      </c>
      <c r="AM9" s="212">
        <f>SUM(AM3,AM5,AM7)</f>
        <v/>
      </c>
      <c r="AO9" s="211">
        <f>SUM(AO3,AO5,AO7)</f>
        <v/>
      </c>
      <c r="AP9" s="92">
        <f>AM9/AO9</f>
        <v/>
      </c>
    </row>
    <row r="10" ht="24" customHeight="1">
      <c r="A10" s="28">
        <f>(C10-C9)/C9</f>
        <v/>
      </c>
      <c r="B10" s="29" t="inlineStr">
        <is>
          <t>FEV</t>
        </is>
      </c>
      <c r="C10" s="213" t="n">
        <v>1109</v>
      </c>
      <c r="D10" s="214" t="n">
        <v>1109</v>
      </c>
      <c r="E10" s="223" t="n"/>
      <c r="F10" s="82">
        <f>C10/E10</f>
        <v/>
      </c>
      <c r="W10" s="15" t="inlineStr">
        <is>
          <t>ABR</t>
        </is>
      </c>
      <c r="X10" s="24" t="n">
        <v>8</v>
      </c>
    </row>
    <row r="11" ht="24" customHeight="1">
      <c r="A11" s="28">
        <f>(C11-C10)/C10</f>
        <v/>
      </c>
      <c r="B11" s="29" t="inlineStr">
        <is>
          <t>MAR</t>
        </is>
      </c>
      <c r="C11" s="213" t="n">
        <v>1537</v>
      </c>
      <c r="D11" s="214" t="n">
        <v>1537</v>
      </c>
      <c r="E11" s="223" t="n"/>
      <c r="F11" s="82">
        <f>C11/E11</f>
        <v/>
      </c>
      <c r="W11" s="15" t="inlineStr">
        <is>
          <t>MAI</t>
        </is>
      </c>
      <c r="X11" s="24" t="n">
        <v>15</v>
      </c>
    </row>
    <row r="12" ht="24" customHeight="1">
      <c r="A12" s="28">
        <f>(C12-C11)/C11</f>
        <v/>
      </c>
      <c r="B12" s="29" t="inlineStr">
        <is>
          <t>ABRIL</t>
        </is>
      </c>
      <c r="C12" s="213" t="n">
        <v>4793</v>
      </c>
      <c r="D12" s="214" t="n">
        <v>4793</v>
      </c>
      <c r="E12" s="223" t="n">
        <v>716</v>
      </c>
      <c r="F12" s="82">
        <f>C12/E12</f>
        <v/>
      </c>
      <c r="W12" s="15" t="inlineStr">
        <is>
          <t>JUN</t>
        </is>
      </c>
      <c r="X12" s="24" t="n">
        <v>18</v>
      </c>
    </row>
    <row r="13" ht="24" customHeight="1">
      <c r="A13" s="28">
        <f>(C13-C12)/C12</f>
        <v/>
      </c>
      <c r="B13" s="29" t="inlineStr">
        <is>
          <t>MAIO</t>
        </is>
      </c>
      <c r="C13" s="213" t="n">
        <v>3347</v>
      </c>
      <c r="D13" s="214" t="n">
        <v>3347</v>
      </c>
      <c r="E13" s="223" t="n">
        <v>1420</v>
      </c>
      <c r="F13" s="82">
        <f>C13/E13</f>
        <v/>
      </c>
      <c r="W13" s="15" t="inlineStr">
        <is>
          <t>JUL</t>
        </is>
      </c>
      <c r="X13" s="24" t="n">
        <v>21</v>
      </c>
      <c r="AP13" s="1" t="n"/>
    </row>
    <row r="14" ht="24" customHeight="1">
      <c r="A14" s="28">
        <f>(C14-C13)/C13</f>
        <v/>
      </c>
      <c r="B14" s="29" t="inlineStr">
        <is>
          <t>JUNHO</t>
        </is>
      </c>
      <c r="C14" s="213" t="n">
        <v>5579</v>
      </c>
      <c r="D14" s="214" t="n">
        <v>5579</v>
      </c>
      <c r="E14" s="223" t="n">
        <v>990</v>
      </c>
      <c r="F14" s="82">
        <f>C14/E14</f>
        <v/>
      </c>
      <c r="W14" s="15" t="inlineStr">
        <is>
          <t>AGO</t>
        </is>
      </c>
      <c r="X14" s="24" t="n">
        <v>22</v>
      </c>
    </row>
    <row r="15" ht="24" customHeight="1">
      <c r="A15" s="28">
        <f>(C15-C14)/C14</f>
        <v/>
      </c>
      <c r="B15" s="29" t="inlineStr">
        <is>
          <t>JULHO</t>
        </is>
      </c>
      <c r="C15" s="213" t="n">
        <v>5989</v>
      </c>
      <c r="D15" s="214" t="n">
        <v>5797</v>
      </c>
      <c r="E15" s="223" t="n">
        <v>990</v>
      </c>
      <c r="F15" s="82">
        <f>C15/E15</f>
        <v/>
      </c>
      <c r="W15" s="15" t="inlineStr">
        <is>
          <t>SET</t>
        </is>
      </c>
      <c r="X15" s="24" t="n"/>
    </row>
    <row r="16" ht="24" customHeight="1">
      <c r="A16" s="28">
        <f>(C16-C15)/C15</f>
        <v/>
      </c>
      <c r="B16" s="29" t="inlineStr">
        <is>
          <t>AGOSTO</t>
        </is>
      </c>
      <c r="C16" s="213" t="n">
        <v>6415</v>
      </c>
      <c r="D16" s="214" t="n">
        <v>6415</v>
      </c>
      <c r="E16" s="223" t="n">
        <v>1000</v>
      </c>
      <c r="F16" s="82">
        <f>C16/E16</f>
        <v/>
      </c>
      <c r="W16" s="15" t="inlineStr">
        <is>
          <t>OUT</t>
        </is>
      </c>
      <c r="X16" s="24" t="n"/>
    </row>
    <row r="17" ht="24" customHeight="1">
      <c r="A17" s="28">
        <f>(C17-C16)/C16</f>
        <v/>
      </c>
      <c r="B17" s="29" t="inlineStr">
        <is>
          <t>SETEMBRO</t>
        </is>
      </c>
      <c r="C17" s="213" t="n">
        <v>5403</v>
      </c>
      <c r="D17" s="214" t="n">
        <v>5403</v>
      </c>
      <c r="E17" s="223" t="n">
        <v>920</v>
      </c>
      <c r="F17" s="82">
        <f>C17/E17</f>
        <v/>
      </c>
      <c r="W17" s="15" t="inlineStr">
        <is>
          <t>NOV</t>
        </is>
      </c>
      <c r="X17" s="24" t="n"/>
    </row>
    <row r="18" ht="24" customHeight="1">
      <c r="A18" s="28">
        <f>(C18-C17)/C17</f>
        <v/>
      </c>
      <c r="B18" s="29" t="inlineStr">
        <is>
          <t>OUTUBRO</t>
        </is>
      </c>
      <c r="C18" s="213" t="n">
        <v>6290</v>
      </c>
      <c r="D18" s="214" t="n">
        <v>6290</v>
      </c>
      <c r="E18" s="223" t="n">
        <v>1240</v>
      </c>
      <c r="F18" s="82">
        <f>C18/E18</f>
        <v/>
      </c>
      <c r="W18" s="15" t="inlineStr">
        <is>
          <t>DEZ</t>
        </is>
      </c>
      <c r="X18" s="24" t="n"/>
      <c r="AN18" t="inlineStr">
        <is>
          <t xml:space="preserve"> </t>
        </is>
      </c>
    </row>
    <row r="19" ht="24" customHeight="1">
      <c r="A19" s="28">
        <f>(C19-C18)/C18</f>
        <v/>
      </c>
      <c r="B19" s="29" t="inlineStr">
        <is>
          <t>NOVEMBRO</t>
        </is>
      </c>
      <c r="C19" s="213" t="n">
        <v>6203</v>
      </c>
      <c r="D19" s="214" t="n">
        <v>6203</v>
      </c>
      <c r="E19" s="223" t="n">
        <v>1600</v>
      </c>
      <c r="F19" s="82">
        <f>C19/E19</f>
        <v/>
      </c>
      <c r="W19" s="16" t="inlineStr">
        <is>
          <t>META</t>
        </is>
      </c>
      <c r="X19" s="24" t="n">
        <v>100</v>
      </c>
    </row>
    <row r="20" ht="23.4" customHeight="1">
      <c r="A20" s="28">
        <f>(C20-C17)/C17</f>
        <v/>
      </c>
      <c r="B20" s="29" t="inlineStr">
        <is>
          <t>DEZEMBRO</t>
        </is>
      </c>
      <c r="C20" s="213" t="n">
        <v>3963</v>
      </c>
      <c r="D20" s="214" t="n">
        <v>3963</v>
      </c>
      <c r="E20" s="223" t="n">
        <v>1130</v>
      </c>
      <c r="F20" s="82">
        <f>C20/E20</f>
        <v/>
      </c>
    </row>
    <row r="21" ht="28.8" customHeight="1">
      <c r="B21" s="46" t="inlineStr">
        <is>
          <t>TOTAL VENDAS</t>
        </is>
      </c>
      <c r="C21" s="211">
        <f>SUM(C9:C20)</f>
        <v/>
      </c>
      <c r="D21" s="211">
        <f>SUM(D9:D20)</f>
        <v/>
      </c>
      <c r="E21" s="211">
        <f>SUM(E9:E20)</f>
        <v/>
      </c>
    </row>
    <row r="22" ht="21" customHeight="1">
      <c r="G22" s="167" t="inlineStr">
        <is>
          <t>INVESTIMENTO</t>
        </is>
      </c>
      <c r="I22" s="168" t="inlineStr">
        <is>
          <t>FATURADO</t>
        </is>
      </c>
      <c r="K22" s="149" t="inlineStr">
        <is>
          <t>LIQUIDO</t>
        </is>
      </c>
    </row>
    <row r="25" ht="36.6" customHeight="1">
      <c r="A25" s="33" t="inlineStr">
        <is>
          <t>META</t>
        </is>
      </c>
    </row>
    <row r="26" ht="23.4" customHeight="1">
      <c r="A26" s="233" t="n">
        <v>100000</v>
      </c>
    </row>
    <row r="28" ht="23.4" customHeight="1">
      <c r="A28" s="233" t="n">
        <v>1000000</v>
      </c>
    </row>
  </sheetData>
  <mergeCells count="13">
    <mergeCell ref="AN1:AN2"/>
    <mergeCell ref="AL1:AL2"/>
    <mergeCell ref="AM1:AM2"/>
    <mergeCell ref="AP1:AP2"/>
    <mergeCell ref="AO1:AO2"/>
    <mergeCell ref="K22:M22"/>
    <mergeCell ref="C7:C8"/>
    <mergeCell ref="B7:B8"/>
    <mergeCell ref="D7:D8"/>
    <mergeCell ref="E7:E8"/>
    <mergeCell ref="I22:J22"/>
    <mergeCell ref="G22:H22"/>
    <mergeCell ref="F7:F8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6:AN41"/>
  <sheetViews>
    <sheetView topLeftCell="B5" zoomScale="99" zoomScaleNormal="80" workbookViewId="0">
      <selection activeCell="C9" sqref="C9:C13"/>
    </sheetView>
  </sheetViews>
  <sheetFormatPr baseColWidth="8" defaultRowHeight="14.4"/>
  <cols>
    <col width="27.33203125" bestFit="1" customWidth="1" min="1" max="1"/>
    <col width="30.6640625" customWidth="1" min="2" max="2"/>
    <col width="29.33203125" bestFit="1" customWidth="1" min="3" max="4"/>
    <col width="27.6640625" bestFit="1" customWidth="1" min="5" max="5"/>
    <col width="27.109375" bestFit="1" customWidth="1" min="6" max="6"/>
    <col width="19.33203125" bestFit="1" customWidth="1" min="7" max="7"/>
    <col width="17.6640625" customWidth="1" min="10" max="10"/>
    <col width="22.109375" customWidth="1" min="21" max="21"/>
    <col width="19.5546875" bestFit="1" customWidth="1" min="24" max="24"/>
    <col width="31.33203125" bestFit="1" customWidth="1" min="37" max="37"/>
    <col width="37.6640625" customWidth="1" min="38" max="38"/>
    <col width="29.33203125" bestFit="1" customWidth="1" min="39" max="39"/>
    <col width="47.88671875" customWidth="1" min="40" max="40"/>
    <col width="27.109375" bestFit="1" customWidth="1" min="41" max="41"/>
    <col width="24.88671875" customWidth="1" min="42" max="42"/>
  </cols>
  <sheetData>
    <row r="1" ht="14.4" customHeight="1"/>
    <row r="2" ht="14.4" customHeight="1"/>
    <row r="4" ht="21.75" customHeight="1"/>
    <row r="6" ht="21" customHeight="1">
      <c r="B6" s="1" t="n"/>
      <c r="W6" s="2" t="n"/>
      <c r="X6" s="30" t="inlineStr">
        <is>
          <t>PEDIDOS MÊS</t>
        </is>
      </c>
    </row>
    <row r="7" ht="23.4" customHeight="1">
      <c r="B7" s="162" t="n">
        <v>2023</v>
      </c>
      <c r="C7" s="159" t="inlineStr">
        <is>
          <t>FATURADO</t>
        </is>
      </c>
      <c r="D7" s="159" t="inlineStr">
        <is>
          <t>LIQUIDO</t>
        </is>
      </c>
      <c r="E7" s="147" t="inlineStr">
        <is>
          <t>ANUCIO</t>
        </is>
      </c>
      <c r="F7" s="164" t="inlineStr">
        <is>
          <t>ROI</t>
        </is>
      </c>
      <c r="W7" s="15" t="inlineStr">
        <is>
          <t>JAN</t>
        </is>
      </c>
      <c r="X7" s="24" t="n"/>
    </row>
    <row r="8" ht="23.4" customHeight="1">
      <c r="A8" s="71" t="inlineStr">
        <is>
          <t>%</t>
        </is>
      </c>
      <c r="B8" s="200" t="n"/>
      <c r="C8" s="200" t="n"/>
      <c r="D8" s="200" t="n"/>
      <c r="E8" s="200" t="n"/>
      <c r="F8" s="200" t="n"/>
      <c r="W8" s="15" t="inlineStr">
        <is>
          <t>FEV</t>
        </is>
      </c>
      <c r="X8" s="22" t="n"/>
    </row>
    <row r="9" ht="26.25" customHeight="1">
      <c r="A9" s="28">
        <f>(C10/C9)/C9</f>
        <v/>
      </c>
      <c r="B9" s="29" t="inlineStr">
        <is>
          <t>JAN</t>
        </is>
      </c>
      <c r="C9" s="234" t="n">
        <v>3443</v>
      </c>
      <c r="D9" s="235" t="n">
        <v>1943</v>
      </c>
      <c r="E9" s="236" t="n">
        <v>730</v>
      </c>
      <c r="F9" s="82">
        <f>C9/E9</f>
        <v/>
      </c>
      <c r="W9" s="15" t="inlineStr">
        <is>
          <t>MAR</t>
        </is>
      </c>
      <c r="X9" s="24" t="n"/>
    </row>
    <row r="10" ht="24" customHeight="1">
      <c r="A10" s="28">
        <f>(C10-C9)/C9</f>
        <v/>
      </c>
      <c r="B10" s="29" t="inlineStr">
        <is>
          <t>FEV</t>
        </is>
      </c>
      <c r="C10" s="234" t="n">
        <v>0</v>
      </c>
      <c r="D10" s="235" t="n">
        <v>0</v>
      </c>
      <c r="E10" s="236" t="n">
        <v>0</v>
      </c>
      <c r="F10" s="82">
        <f>C10/E10</f>
        <v/>
      </c>
      <c r="W10" s="15" t="inlineStr">
        <is>
          <t>ABR</t>
        </is>
      </c>
      <c r="X10" s="24" t="n"/>
    </row>
    <row r="11" ht="24" customHeight="1">
      <c r="A11" s="28">
        <f>(C11-C10)/C10</f>
        <v/>
      </c>
      <c r="B11" s="29" t="inlineStr">
        <is>
          <t>MAR</t>
        </is>
      </c>
      <c r="C11" s="234" t="n">
        <v>2800</v>
      </c>
      <c r="D11" s="235" t="n">
        <v>1900</v>
      </c>
      <c r="E11" s="236" t="n">
        <v>360</v>
      </c>
      <c r="F11" s="82">
        <f>C11/E11</f>
        <v/>
      </c>
      <c r="W11" s="15" t="inlineStr">
        <is>
          <t>MAI</t>
        </is>
      </c>
      <c r="X11" s="24" t="n"/>
    </row>
    <row r="12" ht="24" customHeight="1">
      <c r="A12" s="28">
        <f>(C12-C11)/C11</f>
        <v/>
      </c>
      <c r="B12" s="29" t="inlineStr">
        <is>
          <t>ABRIL</t>
        </is>
      </c>
      <c r="C12" s="234" t="n">
        <v>8443</v>
      </c>
      <c r="D12" s="235" t="n">
        <v>7034</v>
      </c>
      <c r="E12" s="236" t="n">
        <v>509</v>
      </c>
      <c r="F12" s="82">
        <f>C12/E12</f>
        <v/>
      </c>
      <c r="W12" s="15" t="inlineStr">
        <is>
          <t>JUN</t>
        </is>
      </c>
      <c r="X12" s="24" t="n"/>
    </row>
    <row r="13" ht="24" customHeight="1">
      <c r="A13" s="28">
        <f>(C13-C12)/C12</f>
        <v/>
      </c>
      <c r="B13" s="29" t="inlineStr">
        <is>
          <t>MAIO</t>
        </is>
      </c>
      <c r="C13" s="234" t="n">
        <v>9073</v>
      </c>
      <c r="D13" s="235" t="n">
        <v>7091</v>
      </c>
      <c r="E13" s="236" t="n">
        <v>947</v>
      </c>
      <c r="F13" s="82">
        <f>C13/E13</f>
        <v/>
      </c>
      <c r="W13" s="15" t="inlineStr">
        <is>
          <t>JUL</t>
        </is>
      </c>
      <c r="X13" s="24" t="n"/>
    </row>
    <row r="14" ht="24" customHeight="1">
      <c r="A14" s="28">
        <f>(C14-C13)/C13</f>
        <v/>
      </c>
      <c r="B14" s="29" t="inlineStr">
        <is>
          <t>JUNHO</t>
        </is>
      </c>
      <c r="C14" s="234" t="n">
        <v>8097</v>
      </c>
      <c r="D14" s="235" t="n">
        <v>4622</v>
      </c>
      <c r="E14" s="236" t="n">
        <v>1836</v>
      </c>
      <c r="F14" s="82">
        <f>C14/E14</f>
        <v/>
      </c>
      <c r="W14" s="15" t="inlineStr">
        <is>
          <t>AGO</t>
        </is>
      </c>
      <c r="X14" s="24" t="n"/>
    </row>
    <row r="15" ht="24" customHeight="1">
      <c r="A15" s="28">
        <f>(C15-C14)/C14</f>
        <v/>
      </c>
      <c r="B15" s="29" t="inlineStr">
        <is>
          <t>JULHO</t>
        </is>
      </c>
      <c r="C15" s="234" t="n">
        <v>6434</v>
      </c>
      <c r="D15" s="235" t="n">
        <v>5884</v>
      </c>
      <c r="E15" s="236" t="n">
        <v>1080</v>
      </c>
      <c r="F15" s="82">
        <f>C15/E15</f>
        <v/>
      </c>
      <c r="W15" s="15" t="inlineStr">
        <is>
          <t>SET</t>
        </is>
      </c>
      <c r="X15" s="24" t="n"/>
    </row>
    <row r="16" ht="24" customHeight="1">
      <c r="A16" s="28">
        <f>(C16-C15)/C15</f>
        <v/>
      </c>
      <c r="B16" s="29" t="inlineStr">
        <is>
          <t>AGOSTO</t>
        </is>
      </c>
      <c r="C16" s="234" t="n">
        <v>14857</v>
      </c>
      <c r="D16" s="235" t="n">
        <v>11001</v>
      </c>
      <c r="E16" s="236" t="n">
        <v>1200</v>
      </c>
      <c r="F16" s="82">
        <f>C16/E16</f>
        <v/>
      </c>
      <c r="W16" s="15" t="inlineStr">
        <is>
          <t>OUT</t>
        </is>
      </c>
      <c r="X16" s="24" t="n"/>
    </row>
    <row r="17" ht="24" customHeight="1">
      <c r="A17" s="28">
        <f>(C17-C16)/C16</f>
        <v/>
      </c>
      <c r="B17" s="29" t="inlineStr">
        <is>
          <t>SETEMBRO</t>
        </is>
      </c>
      <c r="C17" s="234" t="n">
        <v>7655</v>
      </c>
      <c r="D17" s="235" t="n">
        <v>7655</v>
      </c>
      <c r="E17" s="236" t="n">
        <v>1170</v>
      </c>
      <c r="F17" s="82">
        <f>C17/E17</f>
        <v/>
      </c>
      <c r="W17" s="15" t="inlineStr">
        <is>
          <t>NOV</t>
        </is>
      </c>
      <c r="X17" s="24" t="n"/>
    </row>
    <row r="18" ht="24" customHeight="1">
      <c r="A18" s="28">
        <f>(C18-C17)/C17</f>
        <v/>
      </c>
      <c r="B18" s="29" t="inlineStr">
        <is>
          <t>OUTUBRO</t>
        </is>
      </c>
      <c r="C18" s="234" t="n">
        <v>5333</v>
      </c>
      <c r="D18" s="235" t="n">
        <v>5333</v>
      </c>
      <c r="E18" s="236" t="n">
        <v>1523</v>
      </c>
      <c r="F18" s="82">
        <f>C18/E18</f>
        <v/>
      </c>
      <c r="W18" s="15" t="inlineStr">
        <is>
          <t>DEZ</t>
        </is>
      </c>
      <c r="X18" s="24" t="n"/>
      <c r="AN18" t="inlineStr">
        <is>
          <t xml:space="preserve"> </t>
        </is>
      </c>
    </row>
    <row r="19" ht="24" customHeight="1">
      <c r="A19" s="28">
        <f>(C19-C18)/C18</f>
        <v/>
      </c>
      <c r="B19" s="29" t="inlineStr">
        <is>
          <t>NOVEMBRO</t>
        </is>
      </c>
      <c r="C19" s="234" t="n">
        <v>10077</v>
      </c>
      <c r="D19" s="235" t="n">
        <v>10077</v>
      </c>
      <c r="E19" s="236" t="n">
        <v>1395</v>
      </c>
      <c r="F19" s="82">
        <f>C19/E19</f>
        <v/>
      </c>
      <c r="W19" s="16" t="inlineStr">
        <is>
          <t>META</t>
        </is>
      </c>
      <c r="X19" s="24" t="n">
        <v>100</v>
      </c>
    </row>
    <row r="20" ht="23.4" customHeight="1">
      <c r="A20" s="28">
        <f>(C20-C17)/C17</f>
        <v/>
      </c>
      <c r="B20" s="29" t="inlineStr">
        <is>
          <t>DEZEMBRO</t>
        </is>
      </c>
      <c r="C20" s="234" t="n">
        <v>9413</v>
      </c>
      <c r="D20" s="235" t="n">
        <v>9047</v>
      </c>
      <c r="E20" s="236" t="n">
        <v>1100</v>
      </c>
      <c r="F20" s="82">
        <f>C20/E20</f>
        <v/>
      </c>
    </row>
    <row r="21" ht="28.8" customHeight="1">
      <c r="B21" s="46" t="inlineStr">
        <is>
          <t>TOTAL VENDAS</t>
        </is>
      </c>
      <c r="C21" s="211">
        <f>SUM(C9:C20)</f>
        <v/>
      </c>
      <c r="D21" s="211">
        <f>SUM(D9:D20)</f>
        <v/>
      </c>
      <c r="E21" s="211">
        <f>SUM(E9:E20)</f>
        <v/>
      </c>
    </row>
    <row r="22" ht="21" customHeight="1">
      <c r="G22" s="174" t="inlineStr">
        <is>
          <t>INVESTIMENTO</t>
        </is>
      </c>
      <c r="I22" s="175" t="inlineStr">
        <is>
          <t>FATURAMENTO</t>
        </is>
      </c>
      <c r="K22" s="176" t="inlineStr">
        <is>
          <t>LIQUIDO</t>
        </is>
      </c>
    </row>
    <row r="25" ht="36.6" customHeight="1">
      <c r="A25" s="33" t="inlineStr">
        <is>
          <t>META</t>
        </is>
      </c>
    </row>
    <row r="26" ht="23.4" customHeight="1">
      <c r="A26" s="233" t="n">
        <v>100000</v>
      </c>
    </row>
    <row r="28" ht="23.4" customHeight="1">
      <c r="A28" s="233" t="n">
        <v>1000000</v>
      </c>
    </row>
    <row r="29" ht="18.75" customHeight="1">
      <c r="B29" s="114" t="n"/>
      <c r="C29" s="147" t="inlineStr">
        <is>
          <t>FATURADO</t>
        </is>
      </c>
      <c r="D29" s="150" t="inlineStr">
        <is>
          <t>LIQUIDO</t>
        </is>
      </c>
      <c r="E29" s="146" t="inlineStr">
        <is>
          <t>ROI INVEST</t>
        </is>
      </c>
      <c r="F29" s="150" t="inlineStr">
        <is>
          <t>ANUNCIOS</t>
        </is>
      </c>
      <c r="G29" s="146" t="inlineStr">
        <is>
          <t>ROE LIQUIDO</t>
        </is>
      </c>
    </row>
    <row r="30" ht="18.75" customHeight="1">
      <c r="B30" s="114" t="n"/>
      <c r="C30" s="200" t="n"/>
      <c r="D30" s="200" t="n"/>
      <c r="E30" s="200" t="n"/>
      <c r="F30" s="200" t="n"/>
      <c r="G30" s="200" t="n"/>
    </row>
    <row r="31" ht="28.8" customHeight="1">
      <c r="B31" s="46" t="inlineStr">
        <is>
          <t>TOTAL VENDAS 2020</t>
        </is>
      </c>
      <c r="C31" s="211" t="n">
        <v>65136</v>
      </c>
      <c r="D31" s="212" t="n">
        <v>49294</v>
      </c>
      <c r="E31" s="76">
        <f>C31/F31</f>
        <v/>
      </c>
      <c r="F31" s="211" t="n">
        <v>37911</v>
      </c>
      <c r="G31" s="92">
        <f>D31/F31</f>
        <v/>
      </c>
    </row>
    <row r="33" ht="28.8" customHeight="1">
      <c r="B33" s="46" t="inlineStr">
        <is>
          <t>TOTAL VENDAS 2021</t>
        </is>
      </c>
      <c r="C33" s="211" t="n">
        <v>123160</v>
      </c>
      <c r="D33" s="212" t="n">
        <v>101790</v>
      </c>
      <c r="E33" s="76">
        <f>C33/F33</f>
        <v/>
      </c>
      <c r="F33" s="211" t="n">
        <v>29000</v>
      </c>
      <c r="G33" s="73">
        <f>D33/F33</f>
        <v/>
      </c>
    </row>
    <row r="35" ht="28.8" customHeight="1">
      <c r="B35" s="46" t="inlineStr">
        <is>
          <t>TOTAL VENDAS 2022</t>
        </is>
      </c>
      <c r="C35" s="211" t="n">
        <v>53500</v>
      </c>
      <c r="D35" s="212" t="n">
        <v>53219</v>
      </c>
      <c r="E35" s="76">
        <f>C35/F35</f>
        <v/>
      </c>
      <c r="F35" s="211" t="n">
        <v>10006</v>
      </c>
      <c r="G35" s="92">
        <f>D35/F35</f>
        <v/>
      </c>
    </row>
    <row r="37" ht="28.8" customHeight="1">
      <c r="B37" s="46" t="inlineStr">
        <is>
          <t>TOTAL VENDAS 2023</t>
        </is>
      </c>
      <c r="C37" s="211" t="n">
        <v>85625</v>
      </c>
      <c r="D37" s="212" t="n">
        <v>71587</v>
      </c>
      <c r="E37" s="76">
        <f>C37/F37</f>
        <v/>
      </c>
      <c r="F37" s="211" t="n">
        <v>11850</v>
      </c>
      <c r="G37" s="92">
        <f>D37/F37</f>
        <v/>
      </c>
    </row>
    <row r="40" ht="28.8" customHeight="1">
      <c r="B40" s="46" t="inlineStr">
        <is>
          <t xml:space="preserve">TOTAL </t>
        </is>
      </c>
      <c r="C40" s="211">
        <f>SUM(C31,C33,C35,C37)</f>
        <v/>
      </c>
      <c r="D40" s="212">
        <f>SUM(D31,D33,D35,D37)</f>
        <v/>
      </c>
      <c r="F40" s="211">
        <f>SUM(F31,F33,F35,F37)</f>
        <v/>
      </c>
      <c r="G40" s="92">
        <f>D40/F40</f>
        <v/>
      </c>
    </row>
    <row r="41">
      <c r="G41" s="1" t="n"/>
    </row>
  </sheetData>
  <mergeCells count="13">
    <mergeCell ref="F29:F30"/>
    <mergeCell ref="K22:M22"/>
    <mergeCell ref="C29:C30"/>
    <mergeCell ref="C7:C8"/>
    <mergeCell ref="B7:B8"/>
    <mergeCell ref="D7:D8"/>
    <mergeCell ref="E7:E8"/>
    <mergeCell ref="E29:E30"/>
    <mergeCell ref="I22:J22"/>
    <mergeCell ref="G22:H22"/>
    <mergeCell ref="F7:F8"/>
    <mergeCell ref="D29:D30"/>
    <mergeCell ref="G29:G30"/>
  </mergeCell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2"/>
  <sheetViews>
    <sheetView topLeftCell="A6" zoomScale="102" zoomScaleNormal="80" workbookViewId="0">
      <selection activeCell="B9" sqref="B9:B13"/>
    </sheetView>
  </sheetViews>
  <sheetFormatPr baseColWidth="8" defaultRowHeight="14.4"/>
  <cols>
    <col width="30.6640625" customWidth="1" min="1" max="1"/>
    <col width="29.33203125" bestFit="1" customWidth="1" min="2" max="3"/>
    <col width="27.6640625" bestFit="1" customWidth="1" min="4" max="4"/>
    <col width="27.109375" bestFit="1" customWidth="1" min="5" max="5"/>
    <col width="19.33203125" bestFit="1" customWidth="1" min="6" max="6"/>
    <col width="17.6640625" customWidth="1" min="9" max="9"/>
    <col width="22.109375" customWidth="1" min="20" max="20"/>
    <col width="19.5546875" bestFit="1" customWidth="1" min="23" max="23"/>
    <col width="31.33203125" bestFit="1" customWidth="1" min="36" max="36"/>
    <col width="37.6640625" customWidth="1" min="37" max="37"/>
    <col width="29.33203125" bestFit="1" customWidth="1" min="38" max="38"/>
    <col width="47.88671875" customWidth="1" min="39" max="39"/>
    <col width="27.109375" bestFit="1" customWidth="1" min="40" max="40"/>
    <col width="24.88671875" customWidth="1" min="41" max="41"/>
  </cols>
  <sheetData>
    <row r="1" ht="14.4" customHeight="1">
      <c r="A1" s="177" t="n"/>
      <c r="B1" s="237" t="n"/>
      <c r="C1" s="237" t="n"/>
      <c r="D1" s="237" t="n"/>
      <c r="E1" s="238" t="n"/>
    </row>
    <row r="2" ht="14.4" customHeight="1">
      <c r="A2" s="239" t="n"/>
      <c r="E2" s="240" t="n"/>
    </row>
    <row r="3">
      <c r="A3" s="239" t="n"/>
      <c r="E3" s="240" t="n"/>
    </row>
    <row r="4" ht="21.75" customHeight="1">
      <c r="A4" s="239" t="n"/>
      <c r="E4" s="240" t="n"/>
    </row>
    <row r="5">
      <c r="A5" s="239" t="n"/>
      <c r="E5" s="240" t="n"/>
    </row>
    <row r="6" ht="21" customHeight="1">
      <c r="A6" s="241" t="n"/>
      <c r="B6" s="242" t="n"/>
      <c r="C6" s="242" t="n"/>
      <c r="D6" s="242" t="n"/>
      <c r="E6" s="243" t="n"/>
      <c r="V6" s="2" t="n"/>
      <c r="W6" s="30" t="inlineStr">
        <is>
          <t>PEDIDOS MÊS</t>
        </is>
      </c>
    </row>
    <row r="7" ht="23.4" customHeight="1">
      <c r="A7" s="162" t="n">
        <v>2024</v>
      </c>
      <c r="B7" s="159" t="inlineStr">
        <is>
          <t>FATURADO</t>
        </is>
      </c>
      <c r="C7" s="159" t="inlineStr">
        <is>
          <t>LIQUIDO</t>
        </is>
      </c>
      <c r="D7" s="147" t="inlineStr">
        <is>
          <t>ANUCIO</t>
        </is>
      </c>
      <c r="E7" s="164" t="inlineStr">
        <is>
          <t>ROI</t>
        </is>
      </c>
      <c r="V7" s="15" t="inlineStr">
        <is>
          <t>JAN</t>
        </is>
      </c>
      <c r="W7" s="24" t="n"/>
    </row>
    <row r="8" ht="23.4" customHeight="1">
      <c r="A8" s="200" t="n"/>
      <c r="B8" s="200" t="n"/>
      <c r="C8" s="200" t="n"/>
      <c r="D8" s="200" t="n"/>
      <c r="E8" s="200" t="n"/>
      <c r="V8" s="15" t="inlineStr">
        <is>
          <t>FEV</t>
        </is>
      </c>
      <c r="W8" s="22" t="n"/>
    </row>
    <row r="9" ht="26.25" customHeight="1">
      <c r="A9" s="29" t="inlineStr">
        <is>
          <t>JAN</t>
        </is>
      </c>
      <c r="B9" s="234" t="n">
        <v>4984</v>
      </c>
      <c r="C9" s="235" t="n">
        <v>4984</v>
      </c>
      <c r="D9" s="236" t="n">
        <v>963</v>
      </c>
      <c r="E9" s="124">
        <f>B9/D9</f>
        <v/>
      </c>
      <c r="V9" s="15" t="inlineStr">
        <is>
          <t>MAR</t>
        </is>
      </c>
      <c r="W9" s="24" t="n"/>
    </row>
    <row r="10" ht="24" customHeight="1">
      <c r="A10" s="29" t="inlineStr">
        <is>
          <t>FEV</t>
        </is>
      </c>
      <c r="B10" s="234" t="n">
        <v>3530</v>
      </c>
      <c r="C10" s="235" t="n">
        <v>3530</v>
      </c>
      <c r="D10" s="236" t="n">
        <v>1243</v>
      </c>
      <c r="E10" s="82">
        <f>B10/D10</f>
        <v/>
      </c>
      <c r="V10" s="15" t="inlineStr">
        <is>
          <t>ABR</t>
        </is>
      </c>
      <c r="W10" s="24" t="n"/>
    </row>
    <row r="11" ht="24" customHeight="1">
      <c r="A11" s="29" t="inlineStr">
        <is>
          <t>MAR</t>
        </is>
      </c>
      <c r="B11" s="234" t="n">
        <v>7412</v>
      </c>
      <c r="C11" s="235" t="n">
        <v>7412</v>
      </c>
      <c r="D11" s="236" t="n">
        <v>884</v>
      </c>
      <c r="E11" s="124">
        <f>B11/D11</f>
        <v/>
      </c>
      <c r="V11" s="15" t="inlineStr">
        <is>
          <t>MAI</t>
        </is>
      </c>
      <c r="W11" s="24" t="n"/>
    </row>
    <row r="12" ht="24" customHeight="1">
      <c r="A12" s="29" t="inlineStr">
        <is>
          <t>ABRIL</t>
        </is>
      </c>
      <c r="B12" s="234" t="n">
        <v>7740</v>
      </c>
      <c r="C12" s="235" t="n">
        <v>7740</v>
      </c>
      <c r="D12" s="236" t="n">
        <v>2106</v>
      </c>
      <c r="E12" s="124">
        <f>B12/D12</f>
        <v/>
      </c>
      <c r="V12" s="15" t="inlineStr">
        <is>
          <t>JUN</t>
        </is>
      </c>
      <c r="W12" s="24" t="n"/>
    </row>
    <row r="13" ht="24" customHeight="1">
      <c r="A13" s="29" t="inlineStr">
        <is>
          <t>MAIO</t>
        </is>
      </c>
      <c r="B13" s="234" t="n">
        <v>10084</v>
      </c>
      <c r="C13" s="235" t="n">
        <v>10084</v>
      </c>
      <c r="D13" s="236" t="n">
        <v>1500</v>
      </c>
      <c r="E13" s="124">
        <f>B13/D13</f>
        <v/>
      </c>
      <c r="V13" s="15" t="inlineStr">
        <is>
          <t>JUL</t>
        </is>
      </c>
      <c r="W13" s="24" t="n"/>
    </row>
    <row r="14" ht="24" customHeight="1">
      <c r="A14" s="29" t="inlineStr">
        <is>
          <t>JUNHO</t>
        </is>
      </c>
      <c r="B14" s="234" t="n">
        <v>8433</v>
      </c>
      <c r="C14" s="235" t="n">
        <v>8433</v>
      </c>
      <c r="D14" s="236" t="n">
        <v>892</v>
      </c>
      <c r="E14" s="124">
        <f>B14/D14</f>
        <v/>
      </c>
      <c r="V14" s="15" t="inlineStr">
        <is>
          <t>AGO</t>
        </is>
      </c>
      <c r="W14" s="24" t="n"/>
    </row>
    <row r="15" ht="24" customHeight="1">
      <c r="A15" s="29" t="inlineStr">
        <is>
          <t>JULHO</t>
        </is>
      </c>
      <c r="B15" s="234" t="n">
        <v>10320</v>
      </c>
      <c r="C15" s="235" t="n">
        <v>10320</v>
      </c>
      <c r="D15" s="236" t="n">
        <v>2019</v>
      </c>
      <c r="E15" s="124">
        <f>B15/D15</f>
        <v/>
      </c>
      <c r="V15" s="15" t="inlineStr">
        <is>
          <t>SET</t>
        </is>
      </c>
      <c r="W15" s="24" t="n"/>
    </row>
    <row r="16" ht="24" customHeight="1">
      <c r="A16" s="29" t="inlineStr">
        <is>
          <t>AGOSTO</t>
        </is>
      </c>
      <c r="B16" s="234" t="n">
        <v>7273</v>
      </c>
      <c r="C16" s="235" t="n">
        <v>7273</v>
      </c>
      <c r="D16" s="236" t="n">
        <v>1200</v>
      </c>
      <c r="E16" s="124">
        <f>B16/D16</f>
        <v/>
      </c>
      <c r="V16" s="15" t="inlineStr">
        <is>
          <t>OUT</t>
        </is>
      </c>
      <c r="W16" s="24" t="n"/>
    </row>
    <row r="17" ht="24" customHeight="1">
      <c r="A17" s="29" t="inlineStr">
        <is>
          <t>SETEMBRO</t>
        </is>
      </c>
      <c r="B17" s="234" t="n">
        <v>9984</v>
      </c>
      <c r="C17" s="235" t="n">
        <v>9984</v>
      </c>
      <c r="D17" s="236" t="n">
        <v>1283</v>
      </c>
      <c r="E17" s="124">
        <f>B17/D17</f>
        <v/>
      </c>
      <c r="V17" s="15" t="inlineStr">
        <is>
          <t>NOV</t>
        </is>
      </c>
      <c r="W17" s="24" t="n"/>
    </row>
    <row r="18" ht="24" customHeight="1">
      <c r="A18" s="29" t="inlineStr">
        <is>
          <t>OUTUBRO</t>
        </is>
      </c>
      <c r="B18" s="234" t="n">
        <v>11558</v>
      </c>
      <c r="C18" s="235" t="n">
        <v>11558</v>
      </c>
      <c r="D18" s="236" t="n">
        <v>2000</v>
      </c>
      <c r="E18" s="124">
        <f>B18/D18</f>
        <v/>
      </c>
      <c r="V18" s="15" t="inlineStr">
        <is>
          <t>DEZ</t>
        </is>
      </c>
      <c r="W18" s="24" t="n"/>
      <c r="AM18" t="inlineStr">
        <is>
          <t xml:space="preserve"> </t>
        </is>
      </c>
    </row>
    <row r="19" ht="24" customHeight="1">
      <c r="A19" s="29" t="inlineStr">
        <is>
          <t>NOVEMBRO</t>
        </is>
      </c>
      <c r="B19" s="234" t="n">
        <v>14567</v>
      </c>
      <c r="C19" s="235" t="n">
        <v>14567</v>
      </c>
      <c r="D19" s="236" t="n">
        <v>2080</v>
      </c>
      <c r="E19" s="124">
        <f>B19/D19</f>
        <v/>
      </c>
      <c r="V19" s="16" t="inlineStr">
        <is>
          <t>META</t>
        </is>
      </c>
      <c r="W19" s="24" t="n">
        <v>100</v>
      </c>
    </row>
    <row r="20" ht="23.4" customHeight="1">
      <c r="A20" s="29" t="inlineStr">
        <is>
          <t>DEZEMBRO</t>
        </is>
      </c>
      <c r="B20" s="234" t="n">
        <v>6941</v>
      </c>
      <c r="C20" s="235" t="n">
        <v>6941</v>
      </c>
      <c r="D20" s="236" t="n">
        <v>1350</v>
      </c>
      <c r="E20" s="124">
        <f>B20/D20</f>
        <v/>
      </c>
    </row>
    <row r="21" ht="28.8" customHeight="1">
      <c r="A21" s="125" t="inlineStr">
        <is>
          <t>TOTAL VENDAS</t>
        </is>
      </c>
      <c r="B21" s="211">
        <f>SUM(B9:B20)</f>
        <v/>
      </c>
      <c r="C21" s="211">
        <f>SUM(C9:C20)</f>
        <v/>
      </c>
      <c r="D21" s="211">
        <f>SUM(D9:D20)</f>
        <v/>
      </c>
    </row>
    <row r="22" ht="21" customHeight="1">
      <c r="F22" s="174" t="inlineStr">
        <is>
          <t>INVESTIMENTO</t>
        </is>
      </c>
      <c r="H22" s="175" t="inlineStr">
        <is>
          <t>FATURAMENTO</t>
        </is>
      </c>
      <c r="J22" s="176" t="inlineStr">
        <is>
          <t>LIQUIDO</t>
        </is>
      </c>
    </row>
    <row r="29" ht="18.75" customHeight="1">
      <c r="A29" s="126" t="n"/>
      <c r="B29" s="244" t="inlineStr">
        <is>
          <t>FATURADO</t>
        </is>
      </c>
      <c r="C29" s="245" t="inlineStr">
        <is>
          <t>LIQUIDO</t>
        </is>
      </c>
      <c r="D29" s="246" t="inlineStr">
        <is>
          <t>ROI INVEST</t>
        </is>
      </c>
      <c r="E29" s="245" t="inlineStr">
        <is>
          <t>ANUNCIOS</t>
        </is>
      </c>
      <c r="F29" s="246" t="inlineStr">
        <is>
          <t>ROE LIQUIDO</t>
        </is>
      </c>
    </row>
    <row r="30" ht="18.75" customHeight="1">
      <c r="A30" s="126" t="n"/>
      <c r="B30" s="200" t="n"/>
      <c r="C30" s="200" t="n"/>
      <c r="D30" s="200" t="n"/>
      <c r="E30" s="200" t="n"/>
      <c r="F30" s="200" t="n"/>
    </row>
    <row r="31" ht="28.8" customHeight="1">
      <c r="A31" s="127" t="inlineStr">
        <is>
          <t>TOTAL VENDAS 2020</t>
        </is>
      </c>
      <c r="B31" s="247" t="n">
        <v>65136</v>
      </c>
      <c r="C31" s="248" t="n">
        <v>49294</v>
      </c>
      <c r="D31" s="130">
        <f>B31/E31</f>
        <v/>
      </c>
      <c r="E31" s="247" t="n">
        <v>37911</v>
      </c>
      <c r="F31" s="131">
        <f>C31/E31</f>
        <v/>
      </c>
    </row>
    <row r="32">
      <c r="A32" s="45" t="n"/>
      <c r="B32" s="45" t="n"/>
      <c r="C32" s="45" t="n"/>
      <c r="D32" s="45" t="n"/>
      <c r="E32" s="45" t="n"/>
      <c r="F32" s="45" t="n"/>
    </row>
    <row r="33" ht="28.8" customHeight="1">
      <c r="A33" s="127" t="inlineStr">
        <is>
          <t>TOTAL VENDAS 2021</t>
        </is>
      </c>
      <c r="B33" s="247" t="n">
        <v>123160</v>
      </c>
      <c r="C33" s="248" t="n">
        <v>101790</v>
      </c>
      <c r="D33" s="130">
        <f>B33/E33</f>
        <v/>
      </c>
      <c r="E33" s="247" t="n">
        <v>29000</v>
      </c>
      <c r="F33" s="132">
        <f>C33/E33</f>
        <v/>
      </c>
    </row>
    <row r="34">
      <c r="A34" s="45" t="n"/>
      <c r="B34" s="45" t="n"/>
      <c r="C34" s="45" t="n"/>
      <c r="D34" s="45" t="n"/>
      <c r="E34" s="45" t="n"/>
      <c r="F34" s="45" t="n"/>
    </row>
    <row r="35" ht="28.8" customHeight="1">
      <c r="A35" s="127" t="inlineStr">
        <is>
          <t>TOTAL VENDAS 2022</t>
        </is>
      </c>
      <c r="B35" s="247" t="n">
        <v>53500</v>
      </c>
      <c r="C35" s="248" t="n">
        <v>53219</v>
      </c>
      <c r="D35" s="130">
        <f>B35/E35</f>
        <v/>
      </c>
      <c r="E35" s="247" t="n">
        <v>10006</v>
      </c>
      <c r="F35" s="131">
        <f>C35/E35</f>
        <v/>
      </c>
    </row>
    <row r="36">
      <c r="A36" s="45" t="n"/>
      <c r="B36" s="45" t="n"/>
      <c r="C36" s="45" t="n"/>
      <c r="D36" s="45" t="n"/>
      <c r="E36" s="45" t="n"/>
      <c r="F36" s="45" t="n"/>
    </row>
    <row r="37" ht="28.8" customHeight="1">
      <c r="A37" s="127" t="inlineStr">
        <is>
          <t>TOTAL VENDAS 2023</t>
        </is>
      </c>
      <c r="B37" s="247" t="n">
        <v>85625</v>
      </c>
      <c r="C37" s="248" t="n">
        <v>71587</v>
      </c>
      <c r="D37" s="130">
        <f>B37/E37</f>
        <v/>
      </c>
      <c r="E37" s="247" t="n">
        <v>11850</v>
      </c>
      <c r="F37" s="131">
        <f>C37/E37</f>
        <v/>
      </c>
    </row>
    <row r="38">
      <c r="A38" s="45" t="n"/>
      <c r="B38" s="45" t="n"/>
      <c r="C38" s="45" t="n"/>
      <c r="D38" s="45" t="n"/>
      <c r="E38" s="45" t="n"/>
      <c r="F38" s="45" t="n"/>
    </row>
    <row r="39" ht="28.8" customHeight="1">
      <c r="A39" s="127" t="inlineStr">
        <is>
          <t>TOTAL VENDAS 2024</t>
        </is>
      </c>
      <c r="B39" s="247" t="n">
        <v>99491</v>
      </c>
      <c r="C39" s="248" t="n">
        <v>97318</v>
      </c>
      <c r="D39" s="130">
        <f>B39/E39</f>
        <v/>
      </c>
      <c r="E39" s="247" t="n">
        <v>17520</v>
      </c>
      <c r="F39" s="131">
        <f>C39/E39</f>
        <v/>
      </c>
    </row>
    <row r="40">
      <c r="A40" s="45" t="n"/>
      <c r="B40" s="45" t="n"/>
      <c r="C40" s="45" t="n"/>
      <c r="D40" s="45" t="n"/>
      <c r="E40" s="45" t="n"/>
      <c r="F40" s="45" t="n"/>
    </row>
    <row r="41">
      <c r="A41" s="45" t="n"/>
      <c r="B41" s="45" t="n"/>
      <c r="C41" s="45" t="n"/>
      <c r="D41" s="45" t="n"/>
      <c r="E41" s="45" t="n"/>
      <c r="F41" s="133" t="n"/>
    </row>
    <row r="42" ht="28.8" customHeight="1">
      <c r="A42" s="127" t="inlineStr">
        <is>
          <t xml:space="preserve">TOTAL </t>
        </is>
      </c>
      <c r="B42" s="247">
        <f>SUM(B31,B33,B35,B37)</f>
        <v/>
      </c>
      <c r="C42" s="248">
        <f>SUM(C31,C33,C35,C37)</f>
        <v/>
      </c>
      <c r="D42" s="130">
        <f>B42/E42</f>
        <v/>
      </c>
      <c r="E42" s="247">
        <f>SUM(E31,E33,E35,E37)</f>
        <v/>
      </c>
      <c r="F42" s="131">
        <f>C42/E42</f>
        <v/>
      </c>
    </row>
  </sheetData>
  <mergeCells count="14">
    <mergeCell ref="A1:E6"/>
    <mergeCell ref="F29:F30"/>
    <mergeCell ref="J22:L22"/>
    <mergeCell ref="C29:C30"/>
    <mergeCell ref="C7:C8"/>
    <mergeCell ref="A7:A8"/>
    <mergeCell ref="E29:E30"/>
    <mergeCell ref="B7:B8"/>
    <mergeCell ref="F22:G22"/>
    <mergeCell ref="D7:D8"/>
    <mergeCell ref="E7:E8"/>
    <mergeCell ref="H22:I22"/>
    <mergeCell ref="D29:D30"/>
    <mergeCell ref="B29:B30"/>
  </mergeCell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M48"/>
  <sheetViews>
    <sheetView zoomScale="80" zoomScaleNormal="80" workbookViewId="0">
      <selection activeCell="B13" sqref="B13"/>
    </sheetView>
  </sheetViews>
  <sheetFormatPr baseColWidth="8" defaultRowHeight="14.4"/>
  <cols>
    <col width="35.33203125" customWidth="1" min="1" max="1"/>
    <col width="29.33203125" bestFit="1" customWidth="1" min="2" max="3"/>
    <col width="27.6640625" bestFit="1" customWidth="1" min="4" max="4"/>
    <col width="28.44140625" bestFit="1" customWidth="1" min="5" max="5"/>
    <col width="19.33203125" bestFit="1" customWidth="1" min="6" max="6"/>
    <col width="14" customWidth="1" min="7" max="7"/>
    <col width="13.21875" customWidth="1" min="8" max="8"/>
    <col width="17.6640625" customWidth="1" min="9" max="9"/>
    <col width="22.109375" customWidth="1" min="20" max="20"/>
    <col width="19.5546875" bestFit="1" customWidth="1" min="23" max="23"/>
    <col width="31.33203125" bestFit="1" customWidth="1" min="36" max="36"/>
    <col width="37.6640625" customWidth="1" min="37" max="37"/>
    <col width="29.33203125" bestFit="1" customWidth="1" min="38" max="38"/>
    <col width="47.88671875" customWidth="1" min="39" max="39"/>
    <col width="27.109375" bestFit="1" customWidth="1" min="40" max="40"/>
    <col width="24.88671875" customWidth="1" min="41" max="41"/>
  </cols>
  <sheetData>
    <row r="1" ht="14.4" customHeight="1">
      <c r="A1" s="177" t="n"/>
      <c r="B1" s="237" t="n"/>
      <c r="C1" s="237" t="n"/>
      <c r="D1" s="237" t="n"/>
      <c r="E1" s="238" t="n"/>
    </row>
    <row r="2" ht="14.4" customHeight="1">
      <c r="A2" s="239" t="n"/>
      <c r="E2" s="240" t="n"/>
    </row>
    <row r="3">
      <c r="A3" s="239" t="n"/>
      <c r="E3" s="240" t="n"/>
    </row>
    <row r="4" ht="21.75" customHeight="1">
      <c r="A4" s="239" t="n"/>
      <c r="E4" s="240" t="n"/>
    </row>
    <row r="5">
      <c r="A5" s="239" t="n"/>
      <c r="E5" s="240" t="n"/>
    </row>
    <row r="6">
      <c r="A6" s="241" t="n"/>
      <c r="B6" s="242" t="n"/>
      <c r="C6" s="242" t="n"/>
      <c r="D6" s="242" t="n"/>
      <c r="E6" s="243" t="n"/>
    </row>
    <row r="7">
      <c r="A7" s="162" t="n">
        <v>2025</v>
      </c>
      <c r="B7" s="159" t="inlineStr">
        <is>
          <t>FATURADO</t>
        </is>
      </c>
      <c r="C7" s="159" t="inlineStr">
        <is>
          <t>LIQUIDO</t>
        </is>
      </c>
      <c r="D7" s="147" t="inlineStr">
        <is>
          <t>ANUCIO</t>
        </is>
      </c>
      <c r="E7" s="164" t="inlineStr">
        <is>
          <t>ROI</t>
        </is>
      </c>
      <c r="F7" s="45" t="n"/>
    </row>
    <row r="8">
      <c r="A8" s="200" t="n"/>
      <c r="B8" s="200" t="n"/>
      <c r="C8" s="200" t="n"/>
      <c r="D8" s="200" t="n"/>
      <c r="E8" s="200" t="n"/>
    </row>
    <row r="9" ht="26.25" customHeight="1">
      <c r="A9" s="29" t="inlineStr">
        <is>
          <t>JAN</t>
        </is>
      </c>
      <c r="B9" s="234" t="n">
        <v>8265</v>
      </c>
      <c r="C9" s="235" t="n">
        <v>8265</v>
      </c>
      <c r="D9" s="236" t="n">
        <v>2504</v>
      </c>
      <c r="E9" s="124">
        <f>B9/D9</f>
        <v/>
      </c>
    </row>
    <row r="10" ht="24" customHeight="1">
      <c r="A10" s="29" t="inlineStr">
        <is>
          <t>FEV</t>
        </is>
      </c>
      <c r="B10" s="234" t="n">
        <v>2725</v>
      </c>
      <c r="C10" s="235" t="n">
        <v>2725</v>
      </c>
      <c r="D10" s="249" t="n">
        <v>160</v>
      </c>
      <c r="E10" s="124">
        <f>B10/D10</f>
        <v/>
      </c>
    </row>
    <row r="11" ht="23.4" customHeight="1">
      <c r="A11" s="29" t="inlineStr">
        <is>
          <t>MAR</t>
        </is>
      </c>
      <c r="B11" s="234" t="n">
        <v>15291</v>
      </c>
      <c r="C11" s="235" t="n">
        <v>15291</v>
      </c>
      <c r="D11" s="249" t="n">
        <v>885</v>
      </c>
      <c r="E11" s="124">
        <f>B11/D11</f>
        <v/>
      </c>
    </row>
    <row r="12" ht="23.4" customHeight="1">
      <c r="A12" s="29" t="inlineStr">
        <is>
          <t>ABRIL</t>
        </is>
      </c>
      <c r="B12" s="234" t="n">
        <v>6448</v>
      </c>
      <c r="C12" s="235" t="n">
        <v>6448</v>
      </c>
      <c r="D12" s="249" t="n">
        <v>1061</v>
      </c>
      <c r="E12" s="124">
        <f>B12/D12</f>
        <v/>
      </c>
    </row>
    <row r="13" ht="23.4" customHeight="1">
      <c r="A13" s="29" t="inlineStr">
        <is>
          <t>MAIO</t>
        </is>
      </c>
      <c r="B13" s="234" t="n">
        <v>12218</v>
      </c>
      <c r="C13" s="235" t="n">
        <v>12218</v>
      </c>
      <c r="D13" s="249" t="n">
        <v>1340</v>
      </c>
      <c r="E13" s="124">
        <f>B13/D13</f>
        <v/>
      </c>
    </row>
    <row r="14" ht="23.4" customHeight="1">
      <c r="A14" s="29" t="inlineStr">
        <is>
          <t>JUNHO</t>
        </is>
      </c>
      <c r="B14" s="234" t="n">
        <v>6300</v>
      </c>
      <c r="C14" s="235" t="n">
        <v>6300</v>
      </c>
      <c r="D14" s="249" t="n">
        <v>1306</v>
      </c>
      <c r="E14" s="124">
        <f>B14/D14</f>
        <v/>
      </c>
    </row>
    <row r="15" ht="23.4" customHeight="1">
      <c r="A15" s="29" t="inlineStr">
        <is>
          <t>JULHO</t>
        </is>
      </c>
      <c r="B15" s="234" t="n">
        <v>9678</v>
      </c>
      <c r="C15" s="235" t="n">
        <v>9678</v>
      </c>
      <c r="D15" s="236" t="n">
        <v>1307</v>
      </c>
      <c r="E15" s="124">
        <f>B15/D15</f>
        <v/>
      </c>
    </row>
    <row r="16" ht="23.4" customHeight="1">
      <c r="A16" s="29" t="inlineStr">
        <is>
          <t>AGOSTO</t>
        </is>
      </c>
      <c r="B16" s="234" t="n">
        <v>8318</v>
      </c>
      <c r="C16" s="235" t="n">
        <v>8318</v>
      </c>
      <c r="D16" s="236" t="n">
        <v>2287</v>
      </c>
      <c r="E16" s="124">
        <f>B16/D16</f>
        <v/>
      </c>
    </row>
    <row r="17" ht="23.4" customHeight="1">
      <c r="A17" s="29" t="inlineStr">
        <is>
          <t>SETEMBRO</t>
        </is>
      </c>
      <c r="B17" s="234" t="n">
        <v>15617</v>
      </c>
      <c r="C17" s="235" t="n">
        <v>15617</v>
      </c>
      <c r="D17" s="236" t="n">
        <v>2812</v>
      </c>
      <c r="E17" s="124">
        <f>B17/D17</f>
        <v/>
      </c>
    </row>
    <row r="18" ht="23.4" customHeight="1">
      <c r="A18" s="29" t="inlineStr">
        <is>
          <t>OUTUBRO</t>
        </is>
      </c>
      <c r="B18" s="234" t="n">
        <v>16339</v>
      </c>
      <c r="C18" s="235" t="n">
        <v>16339</v>
      </c>
      <c r="D18" s="236" t="n">
        <v>3700</v>
      </c>
      <c r="E18" s="124">
        <f>B18/D18</f>
        <v/>
      </c>
      <c r="AM18" t="inlineStr">
        <is>
          <t xml:space="preserve"> </t>
        </is>
      </c>
    </row>
    <row r="19" ht="23.4" customHeight="1">
      <c r="A19" s="29" t="inlineStr">
        <is>
          <t>NOVEMBRO</t>
        </is>
      </c>
      <c r="B19" s="234" t="n">
        <v>14868</v>
      </c>
      <c r="C19" s="235" t="n">
        <v>14868</v>
      </c>
      <c r="D19" s="236" t="n">
        <v>3600</v>
      </c>
      <c r="E19" s="124">
        <f>B19/D19</f>
        <v/>
      </c>
    </row>
    <row r="20" ht="23.4" customHeight="1">
      <c r="A20" s="29" t="inlineStr">
        <is>
          <t>DEZEMBRO</t>
        </is>
      </c>
      <c r="B20" s="234" t="n">
        <v>6635</v>
      </c>
      <c r="C20" s="235" t="n">
        <v>6635</v>
      </c>
      <c r="D20" s="236" t="n">
        <v>2600</v>
      </c>
      <c r="E20" s="124">
        <f>B20/D20</f>
        <v/>
      </c>
    </row>
    <row r="21" ht="28.8" customHeight="1">
      <c r="A21" s="125" t="inlineStr">
        <is>
          <t>TOTAL VENDAS</t>
        </is>
      </c>
      <c r="B21" s="211">
        <f>SUM(B9:B20)</f>
        <v/>
      </c>
      <c r="C21" s="211">
        <f>SUM(C9:C20)</f>
        <v/>
      </c>
      <c r="D21" s="211">
        <f>SUM(D9:D20)</f>
        <v/>
      </c>
    </row>
    <row r="23" ht="21" customHeight="1">
      <c r="A23" s="114" t="n"/>
      <c r="B23" s="114" t="n"/>
      <c r="C23" s="135" t="n"/>
      <c r="D23" s="135" t="n"/>
      <c r="E23" s="135" t="n"/>
      <c r="F23" s="135" t="n"/>
      <c r="G23" s="135" t="n"/>
      <c r="J23" s="45" t="n"/>
    </row>
    <row r="24">
      <c r="Y24" s="45" t="n"/>
    </row>
    <row r="29" ht="18.75" customHeight="1">
      <c r="A29" s="126" t="n"/>
      <c r="B29" s="244" t="inlineStr">
        <is>
          <t>FATURADO</t>
        </is>
      </c>
      <c r="C29" s="245" t="inlineStr">
        <is>
          <t>LIQUIDO</t>
        </is>
      </c>
      <c r="D29" s="246" t="inlineStr">
        <is>
          <t>ROI INVEST</t>
        </is>
      </c>
      <c r="E29" s="245" t="inlineStr">
        <is>
          <t>ANUNCIOS</t>
        </is>
      </c>
      <c r="F29" s="246" t="inlineStr">
        <is>
          <t>ROE LIQUIDO</t>
        </is>
      </c>
    </row>
    <row r="30" ht="18.75" customHeight="1">
      <c r="A30" s="126" t="n"/>
      <c r="B30" s="200" t="n"/>
      <c r="C30" s="200" t="n"/>
      <c r="D30" s="200" t="n"/>
      <c r="E30" s="200" t="n"/>
      <c r="F30" s="200" t="n"/>
    </row>
    <row r="31" ht="28.8" customHeight="1">
      <c r="A31" s="127" t="n">
        <v>2020</v>
      </c>
      <c r="B31" s="211" t="n">
        <v>65136</v>
      </c>
      <c r="C31" s="212" t="n">
        <v>49294</v>
      </c>
      <c r="D31" s="130">
        <f>B31/E31</f>
        <v/>
      </c>
      <c r="E31" s="211" t="n">
        <v>37911</v>
      </c>
      <c r="F31" s="131">
        <f>C31/E31</f>
        <v/>
      </c>
    </row>
    <row r="32">
      <c r="A32" s="45" t="n"/>
      <c r="B32" s="45" t="n"/>
      <c r="C32" s="45" t="n"/>
      <c r="D32" s="45" t="n"/>
      <c r="E32" s="45" t="n"/>
      <c r="F32" s="45" t="n"/>
    </row>
    <row r="33" ht="28.8" customHeight="1">
      <c r="A33" s="127" t="n">
        <v>2021</v>
      </c>
      <c r="B33" s="211" t="n">
        <v>123160</v>
      </c>
      <c r="C33" s="212" t="n">
        <v>101790</v>
      </c>
      <c r="D33" s="130">
        <f>B33/E33</f>
        <v/>
      </c>
      <c r="E33" s="211" t="n">
        <v>29000</v>
      </c>
      <c r="F33" s="132">
        <f>C33/E33</f>
        <v/>
      </c>
    </row>
    <row r="34">
      <c r="A34" s="45" t="n"/>
      <c r="B34" s="45" t="n"/>
      <c r="C34" s="45" t="n"/>
      <c r="D34" s="45" t="n"/>
      <c r="E34" s="45" t="n"/>
      <c r="F34" s="45" t="n"/>
    </row>
    <row r="35" ht="28.8" customHeight="1">
      <c r="A35" s="127" t="n">
        <v>2022</v>
      </c>
      <c r="B35" s="211" t="n">
        <v>53500</v>
      </c>
      <c r="C35" s="212" t="n">
        <v>53219</v>
      </c>
      <c r="D35" s="130">
        <f>B35/E35</f>
        <v/>
      </c>
      <c r="E35" s="211" t="n">
        <v>10006</v>
      </c>
      <c r="F35" s="131">
        <f>C35/E35</f>
        <v/>
      </c>
    </row>
    <row r="36">
      <c r="A36" s="45" t="n"/>
      <c r="B36" s="45" t="n"/>
      <c r="C36" s="45" t="n"/>
      <c r="D36" s="45" t="n"/>
      <c r="E36" s="45" t="n"/>
      <c r="F36" s="45" t="n"/>
    </row>
    <row r="37" ht="28.8" customHeight="1">
      <c r="A37" s="127" t="n">
        <v>2023</v>
      </c>
      <c r="B37" s="211" t="n">
        <v>85625</v>
      </c>
      <c r="C37" s="212" t="n">
        <v>71587</v>
      </c>
      <c r="D37" s="130">
        <f>B37/E37</f>
        <v/>
      </c>
      <c r="E37" s="211" t="n">
        <v>11850</v>
      </c>
      <c r="F37" s="131">
        <f>C37/E37</f>
        <v/>
      </c>
    </row>
    <row r="38">
      <c r="A38" s="45" t="n"/>
      <c r="B38" s="45" t="n"/>
      <c r="C38" s="45" t="n"/>
      <c r="D38" s="45" t="n"/>
      <c r="F38" s="45" t="n"/>
    </row>
    <row r="39" ht="28.8" customHeight="1">
      <c r="A39" s="127" t="n">
        <v>2024</v>
      </c>
      <c r="B39" s="211" t="n">
        <v>102826</v>
      </c>
      <c r="C39" s="212" t="n">
        <v>102826</v>
      </c>
      <c r="D39" s="130">
        <f>B39/E39</f>
        <v/>
      </c>
      <c r="E39" s="211" t="n">
        <v>17520</v>
      </c>
      <c r="F39" s="131">
        <f>C39/E39</f>
        <v/>
      </c>
    </row>
    <row r="40">
      <c r="A40" s="45" t="n"/>
      <c r="B40" s="45" t="n"/>
      <c r="C40" s="45" t="n"/>
      <c r="D40" s="45" t="n"/>
      <c r="E40" s="45" t="n"/>
      <c r="F40" s="45" t="n"/>
    </row>
    <row r="41" ht="28.8" customHeight="1">
      <c r="A41" s="127" t="n">
        <v>2025</v>
      </c>
      <c r="B41" s="211" t="n">
        <v>122702</v>
      </c>
      <c r="C41" s="212" t="n">
        <v>122702</v>
      </c>
      <c r="D41" s="130">
        <f>B41/E41</f>
        <v/>
      </c>
      <c r="E41" s="211" t="n">
        <v>22762</v>
      </c>
      <c r="F41" s="131">
        <f>C41/E41</f>
        <v/>
      </c>
    </row>
    <row r="43" ht="28.8" customHeight="1">
      <c r="A43" s="127" t="n">
        <v>2026</v>
      </c>
      <c r="B43" s="211" t="n">
        <v>25869</v>
      </c>
      <c r="C43" s="212" t="n">
        <v>25869</v>
      </c>
      <c r="D43" s="130">
        <f>B43/E43</f>
        <v/>
      </c>
      <c r="E43" s="211" t="n">
        <v>6300</v>
      </c>
      <c r="F43" s="131">
        <f>C43/E43</f>
        <v/>
      </c>
    </row>
    <row r="48" ht="28.8" customHeight="1">
      <c r="A48" s="127" t="inlineStr">
        <is>
          <t xml:space="preserve">TOTAL </t>
        </is>
      </c>
      <c r="B48" s="211">
        <f>SUM(B31,B33,B35,B37,B39,B41,B43)</f>
        <v/>
      </c>
      <c r="C48" s="212">
        <f>SUM(C31,C33,C35,C37,C39,C41,C43)</f>
        <v/>
      </c>
      <c r="D48" s="130">
        <f>B48/E48</f>
        <v/>
      </c>
      <c r="E48" s="211">
        <f>SUM(E31,E33,E35,E37,E39,E41)</f>
        <v/>
      </c>
      <c r="F48" s="131">
        <f>C48/E48</f>
        <v/>
      </c>
      <c r="H48" t="n">
        <v>4107</v>
      </c>
      <c r="I48" t="n">
        <v>8492</v>
      </c>
      <c r="K48" t="n">
        <v>4434</v>
      </c>
      <c r="N48" t="n">
        <v>5965</v>
      </c>
      <c r="P48" t="n">
        <v>8568</v>
      </c>
      <c r="R48" t="n">
        <v>10206</v>
      </c>
    </row>
  </sheetData>
  <mergeCells count="11">
    <mergeCell ref="F29:F30"/>
    <mergeCell ref="A1:E6"/>
    <mergeCell ref="C29:C30"/>
    <mergeCell ref="C7:C8"/>
    <mergeCell ref="A7:A8"/>
    <mergeCell ref="E29:E30"/>
    <mergeCell ref="B7:B8"/>
    <mergeCell ref="D7:D8"/>
    <mergeCell ref="E7:E8"/>
    <mergeCell ref="D29:D30"/>
    <mergeCell ref="B29:B30"/>
  </mergeCell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L48"/>
  <sheetViews>
    <sheetView zoomScale="85" zoomScaleNormal="85" workbookViewId="0">
      <selection activeCell="B13" sqref="B13"/>
    </sheetView>
  </sheetViews>
  <sheetFormatPr baseColWidth="8" defaultRowHeight="14.4"/>
  <cols>
    <col width="35.33203125" customWidth="1" min="1" max="1"/>
    <col width="29.33203125" bestFit="1" customWidth="1" min="2" max="3"/>
    <col width="27.6640625" bestFit="1" customWidth="1" min="4" max="4"/>
    <col width="28.44140625" bestFit="1" customWidth="1" min="5" max="5"/>
    <col width="19.33203125" bestFit="1" customWidth="1" min="6" max="6"/>
    <col width="14" customWidth="1" min="7" max="7"/>
    <col width="13.21875" customWidth="1" min="8" max="8"/>
    <col width="17.6640625" customWidth="1" min="9" max="9"/>
    <col width="22.109375" customWidth="1" min="20" max="20"/>
    <col width="19.5546875" bestFit="1" customWidth="1" min="23" max="23"/>
    <col width="31.33203125" bestFit="1" customWidth="1" min="36" max="36"/>
    <col width="37.6640625" customWidth="1" min="37" max="37"/>
    <col width="29.33203125" bestFit="1" customWidth="1" min="38" max="38"/>
    <col width="47.88671875" customWidth="1" min="39" max="39"/>
    <col width="27.109375" bestFit="1" customWidth="1" min="40" max="40"/>
    <col width="24.88671875" customWidth="1" min="41" max="41"/>
  </cols>
  <sheetData>
    <row r="1" ht="14.4" customHeight="1">
      <c r="A1" s="250" t="n"/>
      <c r="B1" s="237" t="n"/>
      <c r="C1" s="237" t="n"/>
      <c r="D1" s="238" t="n"/>
    </row>
    <row r="2" ht="14.4" customHeight="1">
      <c r="A2" s="239" t="n"/>
      <c r="D2" s="240" t="n"/>
    </row>
    <row r="3">
      <c r="A3" s="239" t="n"/>
      <c r="D3" s="240" t="n"/>
    </row>
    <row r="4" ht="21.75" customHeight="1">
      <c r="A4" s="239" t="n"/>
      <c r="D4" s="240" t="n"/>
    </row>
    <row r="5">
      <c r="A5" s="239" t="n"/>
      <c r="D5" s="240" t="n"/>
    </row>
    <row r="6">
      <c r="A6" s="241" t="n"/>
      <c r="B6" s="242" t="n"/>
      <c r="C6" s="242" t="n"/>
      <c r="D6" s="243" t="n"/>
    </row>
    <row r="7">
      <c r="A7" s="162" t="n">
        <v>2026</v>
      </c>
      <c r="B7" s="159" t="inlineStr">
        <is>
          <t>VENDAS</t>
        </is>
      </c>
      <c r="C7" s="147" t="inlineStr">
        <is>
          <t>ANUNCIO</t>
        </is>
      </c>
      <c r="D7" s="164" t="inlineStr">
        <is>
          <t>ROI</t>
        </is>
      </c>
    </row>
    <row r="8">
      <c r="A8" s="200" t="n"/>
      <c r="B8" s="200" t="n"/>
      <c r="C8" s="200" t="n"/>
      <c r="D8" s="200" t="n"/>
    </row>
    <row r="9" ht="26.25" customHeight="1">
      <c r="A9" s="29" t="inlineStr">
        <is>
          <t>JAN</t>
        </is>
      </c>
      <c r="B9" s="234" t="n">
        <v>8938</v>
      </c>
      <c r="C9" s="236" t="n">
        <v>2900</v>
      </c>
      <c r="D9" s="124">
        <f>B9/C9</f>
        <v/>
      </c>
    </row>
    <row r="10" ht="24" customHeight="1">
      <c r="A10" s="29" t="inlineStr">
        <is>
          <t>FEV</t>
        </is>
      </c>
      <c r="B10" s="234" t="n">
        <v>5885</v>
      </c>
      <c r="C10" s="236" t="n">
        <v>1910</v>
      </c>
      <c r="D10" s="124">
        <f>B10/C10</f>
        <v/>
      </c>
    </row>
    <row r="11" ht="23.4" customHeight="1">
      <c r="A11" s="29" t="inlineStr">
        <is>
          <t>MAR</t>
        </is>
      </c>
      <c r="B11" s="234" t="n">
        <v>11524</v>
      </c>
      <c r="C11" s="236" t="n">
        <v>3800</v>
      </c>
      <c r="D11" s="124">
        <f>B11/C11</f>
        <v/>
      </c>
    </row>
    <row r="12" ht="23.4" customHeight="1">
      <c r="A12" s="29" t="inlineStr">
        <is>
          <t>ABRIL</t>
        </is>
      </c>
      <c r="B12" s="234" t="n">
        <v>19228</v>
      </c>
      <c r="C12" s="236" t="n">
        <v>4500</v>
      </c>
      <c r="D12" s="124">
        <f>B12/C12</f>
        <v/>
      </c>
    </row>
    <row r="13" ht="23.4" customHeight="1">
      <c r="A13" s="29" t="inlineStr">
        <is>
          <t>MAIO</t>
        </is>
      </c>
      <c r="B13" s="234" t="n">
        <v>13973</v>
      </c>
      <c r="C13" s="236" t="n">
        <v>3400</v>
      </c>
      <c r="D13" s="124">
        <f>B13/C13</f>
        <v/>
      </c>
    </row>
    <row r="14" ht="26.4" customHeight="1">
      <c r="A14" s="29" t="inlineStr">
        <is>
          <t>JUNHO</t>
        </is>
      </c>
      <c r="B14" s="234" t="n">
        <v>1770</v>
      </c>
      <c r="C14" s="251" t="n">
        <v>100</v>
      </c>
      <c r="D14" s="124" t="n">
        <v>11</v>
      </c>
    </row>
    <row r="15" ht="23.4" customHeight="1">
      <c r="A15" s="29" t="inlineStr">
        <is>
          <t>JULHO</t>
        </is>
      </c>
      <c r="B15" s="234" t="n"/>
      <c r="C15" s="236" t="n"/>
      <c r="D15" s="137">
        <f>B15/C15</f>
        <v/>
      </c>
    </row>
    <row r="16" ht="23.4" customHeight="1">
      <c r="A16" s="29" t="inlineStr">
        <is>
          <t>AGOSTO</t>
        </is>
      </c>
      <c r="B16" s="234" t="n"/>
      <c r="C16" s="236" t="n"/>
      <c r="D16" s="124">
        <f>B16/C16</f>
        <v/>
      </c>
    </row>
    <row r="17" ht="26.4" customHeight="1">
      <c r="A17" s="29" t="inlineStr">
        <is>
          <t>SETEMBRO</t>
        </is>
      </c>
      <c r="B17" s="234" t="n"/>
      <c r="C17" s="251" t="n"/>
      <c r="D17" s="124">
        <f>B17/C17</f>
        <v/>
      </c>
    </row>
    <row r="18" ht="23.4" customHeight="1">
      <c r="A18" s="29" t="inlineStr">
        <is>
          <t>OUTUBRO</t>
        </is>
      </c>
      <c r="B18" s="234" t="n"/>
      <c r="C18" s="236" t="n"/>
      <c r="D18" s="124">
        <f>B18/C18</f>
        <v/>
      </c>
      <c r="AL18" t="inlineStr">
        <is>
          <t xml:space="preserve"> </t>
        </is>
      </c>
    </row>
    <row r="19" ht="23.4" customHeight="1">
      <c r="A19" s="29" t="inlineStr">
        <is>
          <t>NOVEMBRO</t>
        </is>
      </c>
      <c r="B19" s="234" t="n"/>
      <c r="C19" s="236" t="n"/>
      <c r="D19" s="124">
        <f>B19/C19</f>
        <v/>
      </c>
    </row>
    <row r="20" ht="23.4" customHeight="1">
      <c r="A20" s="29" t="inlineStr">
        <is>
          <t>DEZEMBRO</t>
        </is>
      </c>
      <c r="B20" s="234" t="n"/>
      <c r="C20" s="236" t="n"/>
      <c r="D20" s="124">
        <f>B20/C20</f>
        <v/>
      </c>
    </row>
    <row r="21" ht="28.8" customHeight="1">
      <c r="A21" s="125" t="inlineStr">
        <is>
          <t>TOTAL VENDAS</t>
        </is>
      </c>
      <c r="B21" s="211">
        <f>SUM(B9:B20)</f>
        <v/>
      </c>
      <c r="C21" s="211">
        <f>SUM(C9:C20)</f>
        <v/>
      </c>
    </row>
    <row r="22">
      <c r="E22" t="inlineStr">
        <is>
          <t>niu</t>
        </is>
      </c>
    </row>
    <row r="23" ht="21" customHeight="1">
      <c r="A23" s="114" t="n"/>
      <c r="B23" s="114" t="n"/>
      <c r="C23" s="135" t="n"/>
      <c r="D23" s="135" t="n">
        <v>410</v>
      </c>
      <c r="E23" s="135" t="n"/>
      <c r="F23" s="135" t="n"/>
      <c r="G23" s="135" t="n"/>
      <c r="J23" s="45" t="n"/>
    </row>
    <row r="24">
      <c r="D24" t="n">
        <v>1500</v>
      </c>
      <c r="Y24" s="45" t="n"/>
    </row>
    <row r="29" ht="18.75" customHeight="1">
      <c r="A29" s="126" t="n"/>
      <c r="B29" s="244" t="inlineStr">
        <is>
          <t>FATURADO</t>
        </is>
      </c>
      <c r="C29" s="245" t="inlineStr">
        <is>
          <t>LIQUIDO</t>
        </is>
      </c>
      <c r="D29" s="246" t="inlineStr">
        <is>
          <t>ROI INVEST</t>
        </is>
      </c>
      <c r="E29" s="245" t="inlineStr">
        <is>
          <t>ANUNCIOS</t>
        </is>
      </c>
      <c r="F29" s="246" t="inlineStr">
        <is>
          <t>ROE LIQUIDO</t>
        </is>
      </c>
    </row>
    <row r="30" ht="18.75" customHeight="1">
      <c r="A30" s="126" t="n"/>
      <c r="B30" s="200" t="n"/>
      <c r="C30" s="200" t="n"/>
      <c r="D30" s="200" t="n"/>
      <c r="E30" s="200" t="n"/>
      <c r="F30" s="200" t="n"/>
    </row>
    <row r="31" ht="28.8" customHeight="1">
      <c r="A31" s="127" t="n">
        <v>2020</v>
      </c>
      <c r="B31" s="211" t="n">
        <v>65136</v>
      </c>
      <c r="C31" s="212" t="n">
        <v>49294</v>
      </c>
      <c r="D31" s="130">
        <f>B31/E31</f>
        <v/>
      </c>
      <c r="E31" s="211" t="n">
        <v>37911</v>
      </c>
      <c r="F31" s="131">
        <f>C31/E31</f>
        <v/>
      </c>
    </row>
    <row r="32">
      <c r="A32" s="45" t="n"/>
      <c r="B32" s="45" t="n"/>
      <c r="C32" s="45" t="n"/>
      <c r="D32" s="45" t="n"/>
      <c r="E32" s="45" t="n"/>
      <c r="F32" s="45" t="n"/>
    </row>
    <row r="33" ht="28.8" customHeight="1">
      <c r="A33" s="127" t="n">
        <v>2021</v>
      </c>
      <c r="B33" s="211" t="n">
        <v>123160</v>
      </c>
      <c r="C33" s="212" t="n">
        <v>101790</v>
      </c>
      <c r="D33" s="130">
        <f>B33/E33</f>
        <v/>
      </c>
      <c r="E33" s="211" t="n">
        <v>29000</v>
      </c>
      <c r="F33" s="132">
        <f>C33/E33</f>
        <v/>
      </c>
    </row>
    <row r="34">
      <c r="A34" s="45" t="n"/>
      <c r="B34" s="45" t="n"/>
      <c r="C34" s="45" t="n"/>
      <c r="D34" s="45" t="n"/>
      <c r="E34" s="45" t="n"/>
      <c r="F34" s="45" t="n"/>
    </row>
    <row r="35" ht="28.8" customHeight="1">
      <c r="A35" s="127" t="n">
        <v>2022</v>
      </c>
      <c r="B35" s="211" t="n">
        <v>53500</v>
      </c>
      <c r="C35" s="212" t="n">
        <v>53219</v>
      </c>
      <c r="D35" s="130">
        <f>B35/E35</f>
        <v/>
      </c>
      <c r="E35" s="211" t="n">
        <v>10006</v>
      </c>
      <c r="F35" s="131">
        <f>C35/E35</f>
        <v/>
      </c>
    </row>
    <row r="36">
      <c r="A36" s="45" t="n"/>
      <c r="B36" s="45" t="n"/>
      <c r="C36" s="45" t="n"/>
      <c r="D36" s="45" t="n"/>
      <c r="E36" s="45" t="n"/>
      <c r="F36" s="45" t="n"/>
    </row>
    <row r="37" ht="28.8" customHeight="1">
      <c r="A37" s="127" t="n">
        <v>2023</v>
      </c>
      <c r="B37" s="211" t="n">
        <v>85625</v>
      </c>
      <c r="C37" s="212" t="n">
        <v>71587</v>
      </c>
      <c r="D37" s="130">
        <f>B37/E37</f>
        <v/>
      </c>
      <c r="E37" s="211" t="n">
        <v>11850</v>
      </c>
      <c r="F37" s="131">
        <f>C37/E37</f>
        <v/>
      </c>
    </row>
    <row r="38">
      <c r="A38" s="45" t="n"/>
      <c r="B38" s="45" t="n"/>
      <c r="C38" s="45" t="n"/>
      <c r="D38" s="45" t="n"/>
      <c r="F38" s="45" t="n"/>
    </row>
    <row r="39" ht="28.8" customHeight="1">
      <c r="A39" s="127" t="n">
        <v>2024</v>
      </c>
      <c r="B39" s="211" t="n">
        <v>102826</v>
      </c>
      <c r="C39" s="212" t="n">
        <v>102826</v>
      </c>
      <c r="D39" s="130">
        <f>B39/E39</f>
        <v/>
      </c>
      <c r="E39" s="211" t="n">
        <v>17520</v>
      </c>
      <c r="F39" s="131">
        <f>C39/E39</f>
        <v/>
      </c>
    </row>
    <row r="40">
      <c r="A40" s="45" t="n"/>
      <c r="B40" s="45" t="n"/>
      <c r="C40" s="45" t="n"/>
      <c r="D40" s="45" t="n"/>
      <c r="E40" s="45" t="n"/>
      <c r="F40" s="45" t="n"/>
    </row>
    <row r="41" ht="28.8" customHeight="1">
      <c r="A41" s="127" t="n">
        <v>2025</v>
      </c>
      <c r="B41" s="211" t="n">
        <v>122702</v>
      </c>
      <c r="C41" s="212" t="n">
        <v>122702</v>
      </c>
      <c r="D41" s="130">
        <f>B41/E41</f>
        <v/>
      </c>
      <c r="E41" s="211" t="n">
        <v>22762</v>
      </c>
      <c r="F41" s="131">
        <f>C41/E41</f>
        <v/>
      </c>
    </row>
    <row r="43" ht="28.8" customHeight="1">
      <c r="A43" s="127" t="n">
        <v>2026</v>
      </c>
      <c r="B43" s="211" t="n">
        <v>59347</v>
      </c>
      <c r="C43" s="212" t="n">
        <v>59347</v>
      </c>
      <c r="D43" s="130">
        <f>B43/E43</f>
        <v/>
      </c>
      <c r="E43" s="211" t="n">
        <v>15580</v>
      </c>
      <c r="F43" s="131">
        <f>C43/E43</f>
        <v/>
      </c>
    </row>
    <row r="48" ht="28.8" customHeight="1">
      <c r="A48" s="127" t="inlineStr">
        <is>
          <t xml:space="preserve">TOTAL </t>
        </is>
      </c>
      <c r="B48" s="211">
        <f>SUM(B31,B33,B35,B37,B39,B41,B43)</f>
        <v/>
      </c>
      <c r="C48" s="212">
        <f>SUM(C31,C33,C35,C37,C39,C41,C43)</f>
        <v/>
      </c>
      <c r="D48" s="130">
        <f>B48/E48</f>
        <v/>
      </c>
      <c r="E48" s="211">
        <f>SUM(E31,E33,E35,E37,E39,E41,E43)</f>
        <v/>
      </c>
      <c r="F48" s="131">
        <f>C48/E48</f>
        <v/>
      </c>
      <c r="H48" t="n">
        <v>4107</v>
      </c>
      <c r="I48" t="n">
        <v>8492</v>
      </c>
      <c r="K48" t="n">
        <v>4434</v>
      </c>
      <c r="N48" t="n">
        <v>5965</v>
      </c>
      <c r="P48" t="n">
        <v>8568</v>
      </c>
      <c r="R48" t="n">
        <v>10206</v>
      </c>
    </row>
  </sheetData>
  <mergeCells count="10">
    <mergeCell ref="F29:F30"/>
    <mergeCell ref="A1:D6"/>
    <mergeCell ref="C29:C30"/>
    <mergeCell ref="C7:C8"/>
    <mergeCell ref="A7:A8"/>
    <mergeCell ref="D7:D8"/>
    <mergeCell ref="B7:B8"/>
    <mergeCell ref="E29:E30"/>
    <mergeCell ref="D29:D30"/>
    <mergeCell ref="B29:B30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8"/>
  <sheetViews>
    <sheetView tabSelected="1" zoomScale="57" workbookViewId="0">
      <selection activeCell="F2" sqref="F2"/>
    </sheetView>
  </sheetViews>
  <sheetFormatPr baseColWidth="8" defaultRowHeight="14.4"/>
  <cols>
    <col width="9.5546875" bestFit="1" customWidth="1" min="1" max="1"/>
    <col width="28.77734375" bestFit="1" customWidth="1" min="2" max="2"/>
  </cols>
  <sheetData>
    <row r="1" ht="18" customHeight="1">
      <c r="A1" s="126" t="n"/>
      <c r="B1" s="244" t="inlineStr">
        <is>
          <t>VENDAS</t>
        </is>
      </c>
    </row>
    <row r="2" ht="18" customHeight="1">
      <c r="A2" s="126" t="n"/>
      <c r="B2" s="200" t="n"/>
    </row>
    <row r="3" ht="28.8" customHeight="1">
      <c r="A3" s="127" t="inlineStr">
        <is>
          <t>JAN</t>
        </is>
      </c>
      <c r="B3" s="211" t="n">
        <v>7556</v>
      </c>
    </row>
    <row r="4" ht="28.8" customHeight="1">
      <c r="A4" s="127" t="inlineStr">
        <is>
          <t>FEV</t>
        </is>
      </c>
      <c r="B4" s="211" t="n">
        <v>13288</v>
      </c>
    </row>
    <row r="5" ht="28.8" customHeight="1">
      <c r="A5" s="127" t="inlineStr">
        <is>
          <t>MAR</t>
        </is>
      </c>
      <c r="B5" s="211" t="n">
        <v>8473</v>
      </c>
    </row>
    <row r="6" ht="28.8" customHeight="1">
      <c r="A6" s="127" t="inlineStr">
        <is>
          <t>ABR</t>
        </is>
      </c>
      <c r="B6" s="211" t="n">
        <v>10367</v>
      </c>
    </row>
    <row r="7" ht="28.8" customHeight="1">
      <c r="A7" s="127" t="inlineStr">
        <is>
          <t>MAI</t>
        </is>
      </c>
      <c r="B7" s="211" t="n">
        <v>6251</v>
      </c>
    </row>
    <row r="8" ht="28.8" customHeight="1">
      <c r="A8" s="127" t="inlineStr">
        <is>
          <t>JUN</t>
        </is>
      </c>
      <c r="B8" s="211" t="n">
        <v>13338</v>
      </c>
    </row>
    <row r="9" ht="28.8" customHeight="1">
      <c r="A9" s="127" t="inlineStr">
        <is>
          <t>JUL</t>
        </is>
      </c>
      <c r="B9" s="211" t="n">
        <v>9176</v>
      </c>
    </row>
    <row r="10" ht="28.8" customHeight="1">
      <c r="A10" s="127" t="inlineStr">
        <is>
          <t>AGO</t>
        </is>
      </c>
      <c r="B10" s="211" t="n">
        <v>8121</v>
      </c>
    </row>
    <row r="11" ht="28.8" customHeight="1">
      <c r="A11" s="127" t="inlineStr">
        <is>
          <t>SET</t>
        </is>
      </c>
      <c r="B11" s="211" t="n">
        <v>11379</v>
      </c>
    </row>
    <row r="12" ht="28.8" customHeight="1">
      <c r="A12" s="127" t="inlineStr">
        <is>
          <t>OUT</t>
        </is>
      </c>
      <c r="B12" s="211" t="n">
        <v>5276</v>
      </c>
    </row>
    <row r="13" ht="28.8" customHeight="1">
      <c r="A13" s="127" t="inlineStr">
        <is>
          <t>NOV</t>
        </is>
      </c>
      <c r="B13" s="211" t="n">
        <v>5898</v>
      </c>
    </row>
    <row r="14" ht="28.8" customHeight="1">
      <c r="A14" s="127" t="inlineStr">
        <is>
          <t>DEZ</t>
        </is>
      </c>
      <c r="B14" s="211" t="n">
        <v>2536</v>
      </c>
    </row>
    <row r="15" ht="28.8" customHeight="1">
      <c r="A15" s="127" t="inlineStr">
        <is>
          <t>JAN</t>
        </is>
      </c>
      <c r="B15" s="211" t="n">
        <v>2736</v>
      </c>
    </row>
    <row r="16" ht="28.8" customHeight="1">
      <c r="A16" s="127" t="inlineStr">
        <is>
          <t>FEV</t>
        </is>
      </c>
      <c r="B16" s="211" t="n">
        <v>1109</v>
      </c>
    </row>
    <row r="17" ht="28.8" customHeight="1">
      <c r="A17" s="127" t="inlineStr">
        <is>
          <t>MAR</t>
        </is>
      </c>
      <c r="B17" s="211" t="n">
        <v>1537</v>
      </c>
    </row>
    <row r="18" ht="28.8" customHeight="1">
      <c r="A18" s="127" t="inlineStr">
        <is>
          <t>ABR</t>
        </is>
      </c>
      <c r="B18" s="211" t="n">
        <v>4783</v>
      </c>
    </row>
    <row r="19" ht="28.8" customHeight="1">
      <c r="A19" s="127" t="inlineStr">
        <is>
          <t>MAI</t>
        </is>
      </c>
      <c r="B19" s="211" t="n">
        <v>3347</v>
      </c>
    </row>
    <row r="20" ht="28.8" customHeight="1">
      <c r="A20" s="127" t="inlineStr">
        <is>
          <t>JUN</t>
        </is>
      </c>
      <c r="B20" s="211" t="n">
        <v>5579</v>
      </c>
    </row>
    <row r="21" ht="28.8" customHeight="1">
      <c r="A21" s="127" t="inlineStr">
        <is>
          <t>JUL</t>
        </is>
      </c>
      <c r="B21" s="211" t="n">
        <v>5797</v>
      </c>
    </row>
    <row r="22" ht="28.8" customHeight="1">
      <c r="A22" s="127" t="inlineStr">
        <is>
          <t>AGO</t>
        </is>
      </c>
      <c r="B22" s="211" t="n">
        <v>6415</v>
      </c>
    </row>
    <row r="23" ht="28.8" customHeight="1">
      <c r="A23" s="127" t="inlineStr">
        <is>
          <t>SET</t>
        </is>
      </c>
      <c r="B23" s="211" t="n">
        <v>5403</v>
      </c>
    </row>
    <row r="24" ht="28.8" customHeight="1">
      <c r="A24" s="127" t="inlineStr">
        <is>
          <t>OUT</t>
        </is>
      </c>
      <c r="B24" s="211" t="n">
        <v>6290</v>
      </c>
    </row>
    <row r="25" ht="28.8" customHeight="1">
      <c r="A25" s="127" t="inlineStr">
        <is>
          <t>NOV</t>
        </is>
      </c>
      <c r="B25" s="211" t="n">
        <v>6203</v>
      </c>
    </row>
    <row r="26" ht="28.8" customHeight="1">
      <c r="A26" s="127" t="inlineStr">
        <is>
          <t>DEZ</t>
        </is>
      </c>
      <c r="B26" s="211" t="n">
        <v>3963</v>
      </c>
    </row>
    <row r="27" ht="28.8" customHeight="1">
      <c r="A27" s="127" t="inlineStr">
        <is>
          <t>JAN</t>
        </is>
      </c>
      <c r="B27" s="211" t="n">
        <v>1943</v>
      </c>
    </row>
    <row r="28" ht="28.8" customHeight="1">
      <c r="A28" s="127" t="inlineStr">
        <is>
          <t>FEV</t>
        </is>
      </c>
      <c r="B28" s="211" t="n">
        <v>0</v>
      </c>
    </row>
    <row r="29" ht="28.8" customHeight="1">
      <c r="A29" s="127" t="inlineStr">
        <is>
          <t>MAR</t>
        </is>
      </c>
      <c r="B29" s="211" t="n">
        <v>1900</v>
      </c>
    </row>
    <row r="30" ht="28.8" customHeight="1">
      <c r="A30" s="127" t="inlineStr">
        <is>
          <t>ABR</t>
        </is>
      </c>
      <c r="B30" s="211" t="n">
        <v>7034</v>
      </c>
    </row>
    <row r="31" ht="28.8" customHeight="1">
      <c r="A31" s="127" t="inlineStr">
        <is>
          <t>MAI</t>
        </is>
      </c>
      <c r="B31" s="211" t="n">
        <v>7091</v>
      </c>
    </row>
    <row r="32" ht="28.8" customHeight="1">
      <c r="A32" s="127" t="inlineStr">
        <is>
          <t>JUN</t>
        </is>
      </c>
      <c r="B32" s="211" t="n">
        <v>4622</v>
      </c>
    </row>
    <row r="33" ht="28.8" customHeight="1">
      <c r="A33" s="127" t="inlineStr">
        <is>
          <t>JUL</t>
        </is>
      </c>
      <c r="B33" s="211" t="n">
        <v>5884</v>
      </c>
    </row>
    <row r="34" ht="28.8" customHeight="1">
      <c r="A34" s="127" t="inlineStr">
        <is>
          <t>AGO</t>
        </is>
      </c>
      <c r="B34" s="211" t="n">
        <v>11001</v>
      </c>
    </row>
    <row r="35" ht="28.8" customHeight="1">
      <c r="A35" s="127" t="inlineStr">
        <is>
          <t>SET</t>
        </is>
      </c>
      <c r="B35" s="211" t="n">
        <v>7655</v>
      </c>
    </row>
    <row r="36" ht="28.8" customHeight="1">
      <c r="A36" s="127" t="inlineStr">
        <is>
          <t>OUT</t>
        </is>
      </c>
      <c r="B36" s="211" t="n">
        <v>5333</v>
      </c>
    </row>
    <row r="37" ht="28.8" customHeight="1">
      <c r="A37" s="127" t="inlineStr">
        <is>
          <t>NOV</t>
        </is>
      </c>
      <c r="B37" s="211" t="n">
        <v>10077</v>
      </c>
    </row>
    <row r="38" ht="28.8" customHeight="1">
      <c r="A38" s="127" t="inlineStr">
        <is>
          <t>DEZ</t>
        </is>
      </c>
      <c r="B38" s="211" t="n">
        <v>9047</v>
      </c>
    </row>
    <row r="39" ht="28.8" customHeight="1">
      <c r="A39" s="127" t="inlineStr">
        <is>
          <t>JAN</t>
        </is>
      </c>
      <c r="B39" s="211" t="n">
        <v>4984</v>
      </c>
    </row>
    <row r="40" ht="28.8" customHeight="1">
      <c r="A40" s="127" t="inlineStr">
        <is>
          <t>FEV</t>
        </is>
      </c>
      <c r="B40" s="211" t="n">
        <v>3530</v>
      </c>
    </row>
    <row r="41" ht="28.8" customHeight="1">
      <c r="A41" s="127" t="inlineStr">
        <is>
          <t>MAR</t>
        </is>
      </c>
      <c r="B41" s="211" t="n">
        <v>7412</v>
      </c>
    </row>
    <row r="42" ht="28.8" customHeight="1">
      <c r="A42" s="127" t="inlineStr">
        <is>
          <t>ABR</t>
        </is>
      </c>
      <c r="B42" s="211" t="n">
        <v>7740</v>
      </c>
    </row>
    <row r="43" ht="28.8" customHeight="1">
      <c r="A43" s="127" t="inlineStr">
        <is>
          <t>MAI</t>
        </is>
      </c>
      <c r="B43" s="211" t="n">
        <v>10084</v>
      </c>
    </row>
    <row r="44" ht="28.8" customHeight="1">
      <c r="A44" s="127" t="inlineStr">
        <is>
          <t>JUN</t>
        </is>
      </c>
      <c r="B44" s="211" t="n">
        <v>8433</v>
      </c>
    </row>
    <row r="45" ht="28.8" customHeight="1">
      <c r="A45" s="127" t="inlineStr">
        <is>
          <t>JUL</t>
        </is>
      </c>
      <c r="B45" s="211" t="n">
        <v>10320</v>
      </c>
    </row>
    <row r="46" ht="28.8" customHeight="1">
      <c r="A46" s="127" t="inlineStr">
        <is>
          <t>AGO</t>
        </is>
      </c>
      <c r="B46" s="211" t="n">
        <v>7273</v>
      </c>
    </row>
    <row r="47" ht="28.8" customHeight="1">
      <c r="A47" s="127" t="inlineStr">
        <is>
          <t>SET</t>
        </is>
      </c>
      <c r="B47" s="211" t="n">
        <v>9984</v>
      </c>
    </row>
    <row r="48" ht="28.8" customHeight="1">
      <c r="A48" s="127" t="inlineStr">
        <is>
          <t>OUT</t>
        </is>
      </c>
      <c r="B48" s="211" t="n">
        <v>11558</v>
      </c>
    </row>
    <row r="49" ht="28.8" customHeight="1">
      <c r="A49" s="127" t="inlineStr">
        <is>
          <t>NOV</t>
        </is>
      </c>
      <c r="B49" s="211" t="n">
        <v>14567</v>
      </c>
    </row>
    <row r="50" ht="28.8" customHeight="1">
      <c r="A50" s="127" t="inlineStr">
        <is>
          <t>DEZ</t>
        </is>
      </c>
      <c r="B50" s="211" t="n">
        <v>6941</v>
      </c>
    </row>
    <row r="51" ht="28.8" customHeight="1">
      <c r="A51" s="127" t="inlineStr">
        <is>
          <t>JAN</t>
        </is>
      </c>
      <c r="B51" s="211" t="n">
        <v>8265</v>
      </c>
    </row>
    <row r="52" ht="28.8" customHeight="1">
      <c r="A52" s="127" t="inlineStr">
        <is>
          <t>FEV</t>
        </is>
      </c>
      <c r="B52" s="211" t="n">
        <v>2725</v>
      </c>
    </row>
    <row r="53" ht="28.8" customHeight="1">
      <c r="A53" s="127" t="inlineStr">
        <is>
          <t>MAR</t>
        </is>
      </c>
      <c r="B53" s="211" t="n">
        <v>15291</v>
      </c>
    </row>
    <row r="54" ht="28.8" customHeight="1">
      <c r="A54" s="127" t="inlineStr">
        <is>
          <t>ABR</t>
        </is>
      </c>
      <c r="B54" s="211" t="n">
        <v>6448</v>
      </c>
    </row>
    <row r="55" ht="28.8" customHeight="1">
      <c r="A55" s="127" t="inlineStr">
        <is>
          <t>MAI</t>
        </is>
      </c>
      <c r="B55" s="211" t="n">
        <v>12218</v>
      </c>
    </row>
    <row r="56" ht="28.8" customHeight="1">
      <c r="A56" s="127" t="inlineStr">
        <is>
          <t>JUN</t>
        </is>
      </c>
      <c r="B56" s="211" t="n">
        <v>6300</v>
      </c>
    </row>
    <row r="57" ht="28.8" customHeight="1">
      <c r="A57" s="127" t="inlineStr">
        <is>
          <t>JUL</t>
        </is>
      </c>
      <c r="B57" s="211" t="n">
        <v>9678</v>
      </c>
    </row>
    <row r="58" ht="28.8" customHeight="1">
      <c r="A58" s="127" t="inlineStr">
        <is>
          <t>AGO</t>
        </is>
      </c>
      <c r="B58" s="211" t="n">
        <v>8317</v>
      </c>
    </row>
    <row r="59" ht="28.8" customHeight="1">
      <c r="A59" s="127" t="inlineStr">
        <is>
          <t>SET</t>
        </is>
      </c>
      <c r="B59" s="211" t="n">
        <v>15617</v>
      </c>
    </row>
    <row r="60" ht="28.8" customHeight="1">
      <c r="A60" s="127" t="inlineStr">
        <is>
          <t>OUT</t>
        </is>
      </c>
      <c r="B60" s="211" t="n">
        <v>16339</v>
      </c>
    </row>
    <row r="61" ht="28.8" customHeight="1">
      <c r="A61" s="127" t="inlineStr">
        <is>
          <t>NOV</t>
        </is>
      </c>
      <c r="B61" s="211" t="n">
        <v>14868</v>
      </c>
    </row>
    <row r="62" ht="28.8" customHeight="1">
      <c r="A62" s="127" t="inlineStr">
        <is>
          <t>DEZ</t>
        </is>
      </c>
      <c r="B62" s="211" t="n">
        <v>6635</v>
      </c>
    </row>
    <row r="63" ht="28.8" customHeight="1">
      <c r="A63" s="127" t="inlineStr">
        <is>
          <t>JAN</t>
        </is>
      </c>
      <c r="B63" s="211" t="n">
        <v>8938</v>
      </c>
    </row>
    <row r="64" ht="28.8" customHeight="1">
      <c r="A64" s="127" t="inlineStr">
        <is>
          <t>FEV</t>
        </is>
      </c>
      <c r="B64" s="211" t="n">
        <v>5585</v>
      </c>
    </row>
    <row r="65" ht="28.8" customHeight="1">
      <c r="A65" s="127" t="inlineStr">
        <is>
          <t>MAR</t>
        </is>
      </c>
      <c r="B65" s="211" t="n">
        <v>11524</v>
      </c>
    </row>
    <row r="66" ht="28.8" customHeight="1">
      <c r="A66" s="127" t="inlineStr">
        <is>
          <t>ABR</t>
        </is>
      </c>
      <c r="B66" s="211" t="n">
        <v>19228</v>
      </c>
    </row>
    <row r="67" ht="28.8" customHeight="1">
      <c r="A67" s="127" t="inlineStr">
        <is>
          <t>MAI</t>
        </is>
      </c>
      <c r="B67" s="211" t="n">
        <v>13973</v>
      </c>
    </row>
    <row r="68" ht="28.8" customHeight="1">
      <c r="A68" s="127" t="inlineStr">
        <is>
          <t>JUN</t>
        </is>
      </c>
      <c r="B68" s="211" t="n">
        <v>0</v>
      </c>
    </row>
    <row r="69" ht="28.8" customHeight="1">
      <c r="A69" s="127" t="inlineStr">
        <is>
          <t>JUL</t>
        </is>
      </c>
      <c r="B69" s="211" t="n">
        <v>0</v>
      </c>
    </row>
    <row r="70" ht="28.8" customHeight="1">
      <c r="A70" s="127" t="inlineStr">
        <is>
          <t>AGO</t>
        </is>
      </c>
      <c r="B70" s="211" t="n">
        <v>0</v>
      </c>
    </row>
    <row r="71" ht="28.8" customHeight="1">
      <c r="A71" s="127" t="inlineStr">
        <is>
          <t>SET</t>
        </is>
      </c>
      <c r="B71" s="211" t="n">
        <v>0</v>
      </c>
    </row>
    <row r="72" ht="28.8" customHeight="1">
      <c r="A72" s="127" t="inlineStr">
        <is>
          <t>OUT</t>
        </is>
      </c>
      <c r="B72" s="211" t="n">
        <v>0</v>
      </c>
    </row>
    <row r="73" ht="28.8" customHeight="1">
      <c r="A73" s="127" t="inlineStr">
        <is>
          <t>NOV</t>
        </is>
      </c>
      <c r="B73" s="211" t="n">
        <v>0</v>
      </c>
    </row>
    <row r="74" ht="28.8" customHeight="1">
      <c r="A74" s="127" t="inlineStr">
        <is>
          <t>DEZ</t>
        </is>
      </c>
      <c r="B74" s="211" t="n">
        <v>0</v>
      </c>
    </row>
    <row r="75" ht="28.8" customHeight="1">
      <c r="A75" s="127" t="inlineStr">
        <is>
          <t>JAN</t>
        </is>
      </c>
      <c r="B75" s="211" t="n">
        <v>0</v>
      </c>
    </row>
    <row r="76" ht="28.8" customHeight="1">
      <c r="A76" s="127" t="inlineStr">
        <is>
          <t>FEV</t>
        </is>
      </c>
      <c r="B76" s="211" t="n">
        <v>0</v>
      </c>
    </row>
    <row r="77" ht="28.8" customHeight="1">
      <c r="A77" s="127" t="inlineStr">
        <is>
          <t>MAR</t>
        </is>
      </c>
      <c r="B77" s="211" t="n">
        <v>0</v>
      </c>
    </row>
    <row r="78" ht="28.8" customHeight="1">
      <c r="A78" s="127" t="inlineStr">
        <is>
          <t>ABR</t>
        </is>
      </c>
      <c r="B78" s="211" t="n">
        <v>0</v>
      </c>
    </row>
  </sheetData>
  <mergeCells count="1">
    <mergeCell ref="B1:B2"/>
  </mergeCells>
  <pageMargins left="0.511811024" right="0.511811024" top="0.787401575" bottom="0.787401575" header="0.31496062" footer="0.3149606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xx</dc:creator>
  <dcterms:created xmlns:dcterms="http://purl.org/dc/terms/" xmlns:xsi="http://www.w3.org/2001/XMLSchema-instance" xsi:type="dcterms:W3CDTF">2020-07-14T16:26:27Z</dcterms:created>
  <dcterms:modified xmlns:dcterms="http://purl.org/dc/terms/" xmlns:xsi="http://www.w3.org/2001/XMLSchema-instance" xsi:type="dcterms:W3CDTF">2026-06-03T19:34:20Z</dcterms:modified>
  <cp:lastModifiedBy>Kayque Cavalcante</cp:lastModifiedBy>
</cp:coreProperties>
</file>